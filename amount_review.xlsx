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Queue" sheetId="2" state="visible" r:id="rId2"/>
    <sheet xmlns:r="http://schemas.openxmlformats.org/officeDocument/2006/relationships" name="Institution guide" sheetId="3" state="visible" r:id="rId3"/>
    <sheet xmlns:r="http://schemas.openxmlformats.org/officeDocument/2006/relationships" name="Progress" sheetId="4" state="visible" r:id="rId4"/>
    <sheet xmlns:r="http://schemas.openxmlformats.org/officeDocument/2006/relationships" name="Lists" sheetId="5" state="hidden" r:id="rId5"/>
  </sheets>
  <definedNames>
    <definedName name="_xlnm._FilterDatabase" localSheetId="1" hidden="1">'Queue'!$A$1:$W$214</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0">
    <font>
      <name val="Calibri"/>
      <family val="2"/>
      <color theme="1"/>
      <sz val="11"/>
      <scheme val="minor"/>
    </font>
    <font>
      <name val="Arial"/>
      <b val="1"/>
      <color rgb="000E2A3F"/>
      <sz val="16"/>
    </font>
    <font>
      <name val="Arial"/>
      <color rgb="005D6C77"/>
      <sz val="9"/>
    </font>
    <font>
      <name val="Arial"/>
      <b val="1"/>
      <color rgb="000E2A3F"/>
      <sz val="12"/>
    </font>
    <font>
      <name val="Arial"/>
      <sz val="10"/>
    </font>
    <font>
      <name val="Arial"/>
      <b val="1"/>
      <color rgb="00FFFFFF"/>
      <sz val="10"/>
    </font>
    <font>
      <name val="Arial"/>
      <sz val="9"/>
    </font>
    <font>
      <name val="Arial"/>
      <color rgb="002E6187"/>
      <sz val="9"/>
      <u val="single"/>
    </font>
    <font>
      <name val="Arial"/>
      <b val="1"/>
      <sz val="10"/>
    </font>
    <font>
      <name val="Arial"/>
      <b val="1"/>
      <color rgb="000E2A3F"/>
      <sz val="14"/>
    </font>
  </fonts>
  <fills count="7">
    <fill>
      <patternFill/>
    </fill>
    <fill>
      <patternFill patternType="gray125"/>
    </fill>
    <fill>
      <patternFill patternType="solid">
        <fgColor rgb="00E2EFDA"/>
      </patternFill>
    </fill>
    <fill>
      <patternFill patternType="solid">
        <fgColor rgb="000E2A3F"/>
      </patternFill>
    </fill>
    <fill>
      <patternFill patternType="solid">
        <fgColor rgb="00A8853F"/>
      </patternFill>
    </fill>
    <fill>
      <patternFill patternType="solid">
        <fgColor rgb="00EEF1F3"/>
      </patternFill>
    </fill>
    <fill>
      <patternFill patternType="solid">
        <fgColor rgb="00FFF2B3"/>
      </patternFill>
    </fill>
  </fills>
  <borders count="2">
    <border>
      <left/>
      <right/>
      <top/>
      <bottom/>
      <diagonal/>
    </border>
    <border>
      <left style="thin">
        <color rgb="00C9D1D7"/>
      </left>
      <right style="thin">
        <color rgb="00C9D1D7"/>
      </right>
      <top style="thin">
        <color rgb="00C9D1D7"/>
      </top>
      <bottom style="thin">
        <color rgb="00C9D1D7"/>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6" fillId="5" borderId="1" applyAlignment="1" pivotButton="0" quotePrefix="0" xfId="0">
      <alignment vertical="top" wrapText="1"/>
    </xf>
    <xf numFmtId="3" fontId="6" fillId="5" borderId="1" applyAlignment="1" pivotButton="0" quotePrefix="0" xfId="0">
      <alignment vertical="top" wrapText="1"/>
    </xf>
    <xf numFmtId="164" fontId="6" fillId="5" borderId="1" applyAlignment="1" pivotButton="0" quotePrefix="0" xfId="0">
      <alignment vertical="top" wrapText="1"/>
    </xf>
    <xf numFmtId="0" fontId="7" fillId="5" borderId="1" applyAlignment="1" pivotButton="0" quotePrefix="0" xfId="0">
      <alignment vertical="top" wrapText="1"/>
    </xf>
    <xf numFmtId="0" fontId="6" fillId="6" borderId="1" applyAlignment="1" pivotButton="0" quotePrefix="0" xfId="0">
      <alignment vertical="top" wrapText="1"/>
    </xf>
    <xf numFmtId="3" fontId="6" fillId="6" borderId="1" applyAlignment="1" pivotButton="0" quotePrefix="0" xfId="0">
      <alignment vertical="top" wrapText="1"/>
    </xf>
    <xf numFmtId="165" fontId="6" fillId="6" borderId="1" applyAlignment="1" pivotButton="0" quotePrefix="0" xfId="0">
      <alignment vertical="top" wrapText="1"/>
    </xf>
    <xf numFmtId="0" fontId="6" fillId="5" borderId="1" applyAlignment="1" pivotButton="0" quotePrefix="0" xfId="0">
      <alignment vertical="top"/>
    </xf>
    <xf numFmtId="0" fontId="8" fillId="0" borderId="1" applyAlignment="1" pivotButton="0" quotePrefix="0" xfId="0">
      <alignment vertical="top" wrapText="1"/>
    </xf>
    <xf numFmtId="0" fontId="4" fillId="0" borderId="1" applyAlignment="1" pivotButton="0" quotePrefix="0" xfId="0">
      <alignment vertical="top" wrapText="1"/>
    </xf>
    <xf numFmtId="0" fontId="9" fillId="0" borderId="0" pivotButton="0" quotePrefix="0" xfId="0"/>
    <xf numFmtId="0" fontId="8" fillId="0" borderId="1" pivotButton="0" quotePrefix="0" xfId="0"/>
    <xf numFmtId="0" fontId="4" fillId="0" borderId="1" pivotButton="0" quotePrefix="0" xfId="0"/>
    <xf numFmtId="0" fontId="2" fillId="0" borderId="0" pivotButton="0" quotePrefix="0" xfId="0"/>
  </cellXfs>
  <cellStyles count="1">
    <cellStyle name="Normal" xfId="0" builtinId="0" hidden="0"/>
  </cellStyles>
  <dxfs count="3">
    <dxf>
      <fill>
        <patternFill patternType="solid">
          <fgColor rgb="00F4B6B0"/>
        </patternFill>
      </fill>
    </dxf>
    <dxf>
      <fill>
        <patternFill patternType="solid">
          <fgColor rgb="00CFE3D0"/>
        </patternFill>
      </fill>
    </dxf>
    <dxf>
      <fill>
        <patternFill patternType="solid">
          <fgColor rgb="00F2DDB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7"/>
  <sheetViews>
    <sheetView showGridLines="0" workbookViewId="0">
      <selection activeCell="A1" sqref="A1"/>
    </sheetView>
  </sheetViews>
  <sheetFormatPr baseColWidth="8" defaultRowHeight="15"/>
  <cols>
    <col width="4" customWidth="1" min="1" max="1"/>
    <col width="110" customWidth="1" min="2" max="2"/>
  </cols>
  <sheetData>
    <row r="2" ht="15" customHeight="1">
      <c r="B2" s="1" t="inlineStr">
        <is>
          <t>Amount review — checking our largest records against the source</t>
        </is>
      </c>
    </row>
    <row r="3" ht="30" customHeight="1">
      <c r="B3" s="2" t="inlineStr">
        <is>
          <t>Built 24 September 2026 from the database as loaded 2026-08-31. 213 records: 65 suspects (A), 135 large (B), 13 institution top-fives (C).</t>
        </is>
      </c>
    </row>
    <row r="5" ht="15" customHeight="1">
      <c r="B5" s="3" t="inlineStr">
        <is>
          <t>What this is for</t>
        </is>
      </c>
    </row>
    <row r="6" ht="45" customHeight="1">
      <c r="B6" s="4" t="inlineStr">
        <is>
          <t>Our two biggest amount errors so far (IDB Invest's group figure, AfDB's programme envelope) were found by accident. This queue checks the records that carry the most dollars, so the next one is found on purpose. The 200 largest records alone are about an eighth of every dollar in the tracker.</t>
        </is>
      </c>
    </row>
    <row r="7" ht="30" customHeight="1">
      <c r="B7" s="4" t="inlineStr">
        <is>
          <t>Each check takes one to three minutes. At five a day, priority A takes about 13 days and the whole queue about 43. Priority A is where the errors should be; the rest is confirmation.</t>
        </is>
      </c>
    </row>
    <row r="9" ht="15" customHeight="1">
      <c r="B9" s="3" t="inlineStr">
        <is>
          <t>Step by step</t>
        </is>
      </c>
    </row>
    <row r="10" ht="15" customHeight="1">
      <c r="B10" s="4" t="inlineStr">
        <is>
          <t>1.  Open the 'Queue' tab. Work top to bottom: it is already sorted, suspects first, then by size.</t>
        </is>
      </c>
    </row>
    <row r="11" ht="15" customHeight="1">
      <c r="B11" s="4" t="inlineStr">
        <is>
          <t>2.  Find the first row with an empty yellow 'Verdict' cell.</t>
        </is>
      </c>
    </row>
    <row r="12" ht="30" customHeight="1">
      <c r="B12" s="4" t="inlineStr">
        <is>
          <t>3.  Read the grey cells: who, what, OUR amount in the source's own currency, and the 'Already known' note if there is one.</t>
        </is>
      </c>
    </row>
    <row r="13" ht="45" customHeight="1">
      <c r="B13" s="4" t="inlineStr">
        <is>
          <t>4.  Click the link in 'Source' ('Open page', or a web search for EBRD and some Proparco records). Use the 'Institution guide' tab to find where that institution puts the amount, and which differences are normal for it.</t>
        </is>
      </c>
    </row>
    <row r="14" ht="30" customHeight="1">
      <c r="B14" s="4" t="inlineStr">
        <is>
          <t>5.  Find the institution's OWN commitment for this deal. Not the total project cost, not a programme or facility total, not co-financiers' money.</t>
        </is>
      </c>
    </row>
    <row r="15" ht="45" customHeight="1">
      <c r="B15" s="4" t="inlineStr">
        <is>
          <t>6.  Fill the yellow cells: pick a Verdict from the dropdown; type the amount the page shows, in the page's currency, as a plain number (250000000, not '250m'); the currency; the words the page uses for it; and today's date (Ctrl+; types it).</t>
        </is>
      </c>
    </row>
    <row r="16" ht="30" customHeight="1">
      <c r="B16" s="4" t="inlineStr">
        <is>
          <t>7.  If the verdict starts 'Wrong', also say in Notes where on the page you found the right figure. The page amount cell turns red until you fill it in.</t>
        </is>
      </c>
    </row>
    <row r="17" ht="30" customHeight="1">
      <c r="B17" s="4" t="inlineStr">
        <is>
          <t>8.  Save. That's all: nothing changes in the database until you ask Claude to apply the review ('apply the amount review').</t>
        </is>
      </c>
    </row>
    <row r="19" ht="15" customHeight="1">
      <c r="B19" s="3" t="inlineStr">
        <is>
          <t>Choosing a verdict</t>
        </is>
      </c>
    </row>
    <row r="20" ht="15" customHeight="1">
      <c r="B20" s="4" t="inlineStr">
        <is>
          <t>Correct - matches the page: same figure, or within 1%.</t>
        </is>
      </c>
    </row>
    <row r="21" ht="30" customHeight="1">
      <c r="B21" s="4" t="inlineStr">
        <is>
          <t>Correct - small difference: within about 5%, explained by rounding or the exchange rate on a different date.</t>
        </is>
      </c>
    </row>
    <row r="22" ht="30" customHeight="1">
      <c r="B22" s="4" t="inlineStr">
        <is>
          <t>Wrong - programme or envelope total: the figure belongs to a whole programme or facility (the IFC GSCF case below).</t>
        </is>
      </c>
    </row>
    <row r="23" ht="15" customHeight="1">
      <c r="B23" s="4" t="inlineStr">
        <is>
          <t>Wrong - total project cost: the figure is the whole project, including other lenders and the sponsor.</t>
        </is>
      </c>
    </row>
    <row r="24" ht="30" customHeight="1">
      <c r="B24" s="4" t="inlineStr">
        <is>
          <t>Wrong - cumulative or revolving total: typically trade lines, where the page gives a limit and our figure is much larger.</t>
        </is>
      </c>
    </row>
    <row r="25" ht="15" customHeight="1">
      <c r="B25" s="4" t="inlineStr">
        <is>
          <t>Wrong - currency or units: right digits, wrong currency, or out by a factor of 1,000 or 1,000,000.</t>
        </is>
      </c>
    </row>
    <row r="26" ht="30" customHeight="1">
      <c r="B26" s="4" t="inlineStr">
        <is>
          <t>Can't verify: no link, a dead page, or a page with no amount. Say which in Notes. This is a legitimate result, not a failure.</t>
        </is>
      </c>
    </row>
    <row r="27" ht="15" customHeight="1">
      <c r="B27" s="4" t="inlineStr">
        <is>
          <t>Unsure - discuss: anything you'd rather talk through. Say why in Notes.</t>
        </is>
      </c>
    </row>
    <row r="29" ht="15" customHeight="1">
      <c r="B29" s="3" t="inlineStr">
        <is>
          <t>Worked example (a real one, found while building this sheet)</t>
        </is>
      </c>
    </row>
    <row r="30" ht="60" customHeight="1">
      <c r="B30" s="4" t="inlineStr">
        <is>
          <t>IFC 'GSCF Citi II', 2022. Our amount was USD 3,115,000,000. The page, under 'Total Project Cost and Amount and Nature of IFC's Investment', says: 'The IFC Investment will be in amount of up to US$250 million'. This one led to a loader fix on 24 September 2026, so it is no longer in the queue, but it is exactly what an error looks like. Filled in, it would read:</t>
        </is>
      </c>
    </row>
    <row r="31" ht="45" customHeight="1">
      <c r="B31" s="5" t="inlineStr">
        <is>
          <t>Verdict: Wrong - programme or envelope total, not this deal  |  Amount on page: 250000000  |  Currency: USD  |  Page calls it: IFC Investment (up to)  |  Notes: USD 3,115m is the GSCF programme figure; GSCF-SMBC carries the same number.</t>
        </is>
      </c>
    </row>
    <row r="33" ht="15" customHeight="1">
      <c r="B33" s="3" t="inlineStr">
        <is>
          <t>Rules</t>
        </is>
      </c>
    </row>
    <row r="34" ht="30" customHeight="1">
      <c r="B34" s="4" t="inlineStr">
        <is>
          <t>Only type in the yellow columns. The grey ones come from the database, and the columns at the far right are how your decision is matched back to the record.</t>
        </is>
      </c>
    </row>
    <row r="35" ht="15" customHeight="1">
      <c r="B35" s="4" t="inlineStr">
        <is>
          <t>Sorting and filtering are fine: every row carries its own ID.</t>
        </is>
      </c>
    </row>
    <row r="36" ht="30" customHeight="1">
      <c r="B36" s="4" t="inlineStr">
        <is>
          <t>Don't rebuild this file: 'python build_amount_review.py' refuses to overwrite it, because it holds your decisions.</t>
        </is>
      </c>
    </row>
    <row r="37" ht="15" customHeight="1">
      <c r="B37" s="4" t="inlineStr">
        <is>
          <t>The 'Progress' tab counts what you've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1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8" customWidth="1" min="3" max="3"/>
    <col width="30" customWidth="1" min="4" max="4"/>
    <col width="11" customWidth="1" min="5" max="5"/>
    <col width="38" customWidth="1" min="6" max="6"/>
    <col width="16" customWidth="1" min="7" max="7"/>
    <col width="7" customWidth="1" min="8" max="8"/>
    <col width="18" customWidth="1" min="9" max="9"/>
    <col width="9" customWidth="1" min="10" max="10"/>
    <col width="11" customWidth="1" min="11" max="11"/>
    <col width="10" customWidth="1" min="12" max="12"/>
    <col width="45" customWidth="1" min="13" max="13"/>
    <col width="12" customWidth="1" min="14" max="14"/>
    <col width="34" customWidth="1" min="15" max="15"/>
    <col width="17" customWidth="1" min="16" max="16"/>
    <col width="9" customWidth="1" min="17" max="17"/>
    <col width="24" customWidth="1" min="18" max="18"/>
    <col width="40" customWidth="1" min="19" max="19"/>
    <col width="12" customWidth="1" min="20" max="20"/>
    <col width="30" customWidth="1" min="21" max="21"/>
    <col width="12" customWidth="1" min="22" max="22"/>
    <col width="30" customWidth="1" min="23" max="23"/>
  </cols>
  <sheetData>
    <row r="1" ht="42" customHeight="1">
      <c r="A1" s="6" t="inlineStr">
        <is>
          <t>#</t>
        </is>
      </c>
      <c r="B1" s="6" t="inlineStr">
        <is>
          <t>Review ID</t>
        </is>
      </c>
      <c r="C1" s="6" t="inlineStr">
        <is>
          <t>Priority</t>
        </is>
      </c>
      <c r="D1" s="6" t="inlineStr">
        <is>
          <t>Why it's here</t>
        </is>
      </c>
      <c r="E1" s="6" t="inlineStr">
        <is>
          <t>Institution</t>
        </is>
      </c>
      <c r="F1" s="6" t="inlineStr">
        <is>
          <t>Project name</t>
        </is>
      </c>
      <c r="G1" s="6" t="inlineStr">
        <is>
          <t>Country</t>
        </is>
      </c>
      <c r="H1" s="6" t="inlineStr">
        <is>
          <t>Year</t>
        </is>
      </c>
      <c r="I1" s="6" t="inlineStr">
        <is>
          <t>Our amount (source currency)</t>
        </is>
      </c>
      <c r="J1" s="6" t="inlineStr">
        <is>
          <t>Currency</t>
        </is>
      </c>
      <c r="K1" s="6" t="inlineStr">
        <is>
          <t>Our amount (USD m)</t>
        </is>
      </c>
      <c r="L1" s="6" t="inlineStr">
        <is>
          <t>Rank within institution</t>
        </is>
      </c>
      <c r="M1" s="6" t="inlineStr">
        <is>
          <t>Already known</t>
        </is>
      </c>
      <c r="N1" s="6" t="inlineStr">
        <is>
          <t>Source</t>
        </is>
      </c>
      <c r="O1" s="7" t="inlineStr">
        <is>
          <t>Verdict</t>
        </is>
      </c>
      <c r="P1" s="7" t="inlineStr">
        <is>
          <t>Amount on page</t>
        </is>
      </c>
      <c r="Q1" s="7" t="inlineStr">
        <is>
          <t>Page currency</t>
        </is>
      </c>
      <c r="R1" s="7" t="inlineStr">
        <is>
          <t>What the page calls it</t>
        </is>
      </c>
      <c r="S1" s="7" t="inlineStr">
        <is>
          <t>Notes</t>
        </is>
      </c>
      <c r="T1" s="7" t="inlineStr">
        <is>
          <t>Date reviewed</t>
        </is>
      </c>
      <c r="U1" s="6" t="inlineStr">
        <is>
          <t>Source URL (key)</t>
        </is>
      </c>
      <c r="V1" s="6" t="inlineStr">
        <is>
          <t>Approval date (key)</t>
        </is>
      </c>
      <c r="W1" s="6" t="inlineStr">
        <is>
          <t>Exact name (key)</t>
        </is>
      </c>
    </row>
    <row r="2">
      <c r="A2" s="8" t="n">
        <v>1</v>
      </c>
      <c r="B2" s="8" t="inlineStr">
        <is>
          <t>AR-001</t>
        </is>
      </c>
      <c r="C2" s="8" t="inlineStr">
        <is>
          <t>A</t>
        </is>
      </c>
      <c r="D2" s="8" t="inlineStr">
        <is>
          <t>trade-finance line; IFC 'World Region' record of USD 500m or more</t>
        </is>
      </c>
      <c r="E2" s="8" t="inlineStr">
        <is>
          <t>IFC</t>
        </is>
      </c>
      <c r="F2" s="8" t="inlineStr">
        <is>
          <t>Global Trade Finance Program (GTFP)</t>
        </is>
      </c>
      <c r="G2" s="8" t="inlineStr">
        <is>
          <t>Regional — Global</t>
        </is>
      </c>
      <c r="H2" s="8" t="n">
        <v>2004</v>
      </c>
      <c r="I2" s="9" t="n">
        <v>7000000000</v>
      </c>
      <c r="J2" s="8" t="inlineStr">
        <is>
          <t>USD</t>
        </is>
      </c>
      <c r="K2" s="10" t="n">
        <v>7000</v>
      </c>
      <c r="L2" s="8" t="n">
        <v>1</v>
      </c>
      <c r="M2"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2" s="11">
        <f>HYPERLINK("https://disclosures.ifc.org/project-detail/SPI/23898/global-trade-finance-program-(gtfp)","Open page")</f>
        <v/>
      </c>
      <c r="O2" s="12" t="n"/>
      <c r="P2" s="13" t="n"/>
      <c r="Q2" s="12" t="n"/>
      <c r="R2" s="12" t="n"/>
      <c r="S2" s="12" t="n"/>
      <c r="T2" s="14" t="n"/>
      <c r="U2" s="15" t="inlineStr">
        <is>
          <t>https://disclosures.ifc.org/project-detail/SPI/23898/global-trade-finance-program-(gtfp)</t>
        </is>
      </c>
      <c r="V2" s="15" t="inlineStr">
        <is>
          <t>2004-11-11</t>
        </is>
      </c>
      <c r="W2" s="15" t="inlineStr">
        <is>
          <t>Global Trade Finance Program (GTFP)</t>
        </is>
      </c>
    </row>
    <row r="3">
      <c r="A3" s="8" t="n">
        <v>2</v>
      </c>
      <c r="B3" s="8" t="inlineStr">
        <is>
          <t>AR-002</t>
        </is>
      </c>
      <c r="C3" s="8" t="inlineStr">
        <is>
          <t>A</t>
        </is>
      </c>
      <c r="D3" s="8" t="inlineStr">
        <is>
          <t>trade-finance line</t>
        </is>
      </c>
      <c r="E3" s="8" t="inlineStr">
        <is>
          <t>EBRD</t>
        </is>
      </c>
      <c r="F3" s="8" t="inlineStr">
        <is>
          <t>Regional TFP: National Bank Of Egypt</t>
        </is>
      </c>
      <c r="G3" s="8" t="inlineStr">
        <is>
          <t>Egypt</t>
        </is>
      </c>
      <c r="H3" s="8" t="n">
        <v>2014</v>
      </c>
      <c r="I3" s="9" t="n">
        <v>3415855458.81</v>
      </c>
      <c r="J3" s="8" t="inlineStr">
        <is>
          <t>EUR</t>
        </is>
      </c>
      <c r="K3" s="10" t="n">
        <v>4537.967392884543</v>
      </c>
      <c r="L3" s="8" t="n">
        <v>1</v>
      </c>
      <c r="M3" s="8" t="inlineStr">
        <is>
          <t>Trade lines revolve: check whether the figure is a LIMIT (one commitment) or a running total of trade covered over the years. Our figure is EBRD's 'Net Cumulative Bank Investment'.</t>
        </is>
      </c>
      <c r="N3" s="11">
        <f>HYPERLINK("https://www.google.com/search?q=site%3Aebrd.com%2Fhome%2Fwork-with-us%2Fprojects%2Fpsd+Regional+TFP%3A+National+Bank+Of+Egypt","Search EBRD")</f>
        <v/>
      </c>
      <c r="O3" s="12" t="n"/>
      <c r="P3" s="13" t="n"/>
      <c r="Q3" s="12" t="n"/>
      <c r="R3" s="12" t="n"/>
      <c r="S3" s="12" t="n"/>
      <c r="T3" s="14" t="n"/>
      <c r="U3" s="15" t="inlineStr">
        <is>
          <t>https://www.ebrd.com/content/dam/ebrd_dxp/assets/pdfs/publications/ebrd-investments-1991-2025.xlsx</t>
        </is>
      </c>
      <c r="V3" s="15" t="inlineStr">
        <is>
          <t>2014-02-19</t>
        </is>
      </c>
      <c r="W3" s="15" t="inlineStr">
        <is>
          <t>Regional TFP: National Bank Of Egypt</t>
        </is>
      </c>
    </row>
    <row r="4">
      <c r="A4" s="8" t="n">
        <v>3</v>
      </c>
      <c r="B4" s="8" t="inlineStr">
        <is>
          <t>AR-003</t>
        </is>
      </c>
      <c r="C4" s="8" t="inlineStr">
        <is>
          <t>A</t>
        </is>
      </c>
      <c r="D4" s="8" t="inlineStr">
        <is>
          <t>trade-finance line</t>
        </is>
      </c>
      <c r="E4" s="8" t="inlineStr">
        <is>
          <t>EBRD</t>
        </is>
      </c>
      <c r="F4" s="8" t="inlineStr">
        <is>
          <t>Regional TFP: AikBank</t>
        </is>
      </c>
      <c r="G4" s="8" t="inlineStr">
        <is>
          <t>Serbia</t>
        </is>
      </c>
      <c r="H4" s="8" t="n">
        <v>2011</v>
      </c>
      <c r="I4" s="9" t="n">
        <v>1826023786.09</v>
      </c>
      <c r="J4" s="8" t="inlineStr">
        <is>
          <t>EUR</t>
        </is>
      </c>
      <c r="K4" s="10" t="n">
        <v>2541.742939166906</v>
      </c>
      <c r="L4" s="8" t="n">
        <v>2</v>
      </c>
      <c r="M4" s="8" t="inlineStr">
        <is>
          <t>Trade lines revolve: check whether the figure is a LIMIT (one commitment) or a running total of trade covered over the years. Our figure is EBRD's 'Net Cumulative Bank Investment'.</t>
        </is>
      </c>
      <c r="N4" s="11">
        <f>HYPERLINK("https://www.google.com/search?q=site%3Aebrd.com%2Fhome%2Fwork-with-us%2Fprojects%2Fpsd+Regional+TFP%3A+AikBank","Search EBRD")</f>
        <v/>
      </c>
      <c r="O4" s="12" t="n"/>
      <c r="P4" s="13" t="n"/>
      <c r="Q4" s="12" t="n"/>
      <c r="R4" s="12" t="n"/>
      <c r="S4" s="12" t="n"/>
      <c r="T4" s="14" t="n"/>
      <c r="U4" s="15" t="inlineStr">
        <is>
          <t>https://www.ebrd.com/content/dam/ebrd_dxp/assets/pdfs/publications/ebrd-investments-1991-2025.xlsx</t>
        </is>
      </c>
      <c r="V4" s="15" t="inlineStr">
        <is>
          <t>2011-02-14</t>
        </is>
      </c>
      <c r="W4" s="15" t="inlineStr">
        <is>
          <t>Regional TFP: AikBank</t>
        </is>
      </c>
    </row>
    <row r="5">
      <c r="A5" s="8" t="n">
        <v>4</v>
      </c>
      <c r="B5" s="8" t="inlineStr">
        <is>
          <t>AR-004</t>
        </is>
      </c>
      <c r="C5" s="8" t="inlineStr">
        <is>
          <t>A</t>
        </is>
      </c>
      <c r="D5" s="8" t="inlineStr">
        <is>
          <t>trade-finance line</t>
        </is>
      </c>
      <c r="E5" s="8" t="inlineStr">
        <is>
          <t>EBRD</t>
        </is>
      </c>
      <c r="F5" s="8" t="inlineStr">
        <is>
          <t>Regional TFP: BMCE Banque Marocaine pour le Commerce Exterie</t>
        </is>
      </c>
      <c r="G5" s="8" t="inlineStr">
        <is>
          <t>Morocco</t>
        </is>
      </c>
      <c r="H5" s="8" t="n">
        <v>2013</v>
      </c>
      <c r="I5" s="9" t="n">
        <v>1555993008.05</v>
      </c>
      <c r="J5" s="8" t="inlineStr">
        <is>
          <t>EUR</t>
        </is>
      </c>
      <c r="K5" s="10" t="n">
        <v>2066.54232186535</v>
      </c>
      <c r="L5" s="8" t="n">
        <v>3</v>
      </c>
      <c r="M5" s="8" t="inlineStr">
        <is>
          <t>Trade lines revolve: check whether the figure is a LIMIT (one commitment) or a running total of trade covered over the years. Our figure is EBRD's 'Net Cumulative Bank Investment'.</t>
        </is>
      </c>
      <c r="N5" s="11">
        <f>HYPERLINK("https://www.google.com/search?q=site%3Aebrd.com%2Fhome%2Fwork-with-us%2Fprojects%2Fpsd+Regional+TFP%3A+BMCE+Banque+Marocaine+pour+le+Commerce+Exterie","Search EBRD")</f>
        <v/>
      </c>
      <c r="O5" s="12" t="n"/>
      <c r="P5" s="13" t="n"/>
      <c r="Q5" s="12" t="n"/>
      <c r="R5" s="12" t="n"/>
      <c r="S5" s="12" t="n"/>
      <c r="T5" s="14" t="n"/>
      <c r="U5" s="15" t="inlineStr">
        <is>
          <t>https://www.ebrd.com/content/dam/ebrd_dxp/assets/pdfs/publications/ebrd-investments-1991-2025.xlsx</t>
        </is>
      </c>
      <c r="V5" s="15" t="inlineStr">
        <is>
          <t>2013-03-07</t>
        </is>
      </c>
      <c r="W5" s="15" t="inlineStr">
        <is>
          <t>Regional TFP: BMCE Banque Marocaine pour le Commerce Exterie</t>
        </is>
      </c>
    </row>
    <row r="6">
      <c r="A6" s="8" t="n">
        <v>5</v>
      </c>
      <c r="B6" s="8" t="inlineStr">
        <is>
          <t>AR-005</t>
        </is>
      </c>
      <c r="C6" s="8" t="inlineStr">
        <is>
          <t>A</t>
        </is>
      </c>
      <c r="D6" s="8" t="inlineStr">
        <is>
          <t>trade-finance line</t>
        </is>
      </c>
      <c r="E6" s="8" t="inlineStr">
        <is>
          <t>EBRD</t>
        </is>
      </c>
      <c r="F6" s="8" t="inlineStr">
        <is>
          <t>Regional TFP: Export Import Bank of Ukraine (UkrExIm)</t>
        </is>
      </c>
      <c r="G6" s="8" t="inlineStr">
        <is>
          <t>Ukraine</t>
        </is>
      </c>
      <c r="H6" s="8" t="n">
        <v>2007</v>
      </c>
      <c r="I6" s="9" t="n">
        <v>1506943946.52</v>
      </c>
      <c r="J6" s="8" t="inlineStr">
        <is>
          <t>EUR</t>
        </is>
      </c>
      <c r="K6" s="10" t="n">
        <v>2065.233525938836</v>
      </c>
      <c r="L6" s="8" t="n">
        <v>4</v>
      </c>
      <c r="M6" s="8" t="inlineStr">
        <is>
          <t>Trade lines revolve: check whether the figure is a LIMIT (one commitment) or a running total of trade covered over the years. Our figure is EBRD's 'Net Cumulative Bank Investment'.</t>
        </is>
      </c>
      <c r="N6" s="11">
        <f>HYPERLINK("https://www.google.com/search?q=site%3Aebrd.com%2Fhome%2Fwork-with-us%2Fprojects%2Fpsd+Regional+TFP%3A+Export+Import+Bank+of+Ukraine+%28UkrExIm%29","Search EBRD")</f>
        <v/>
      </c>
      <c r="O6" s="12" t="n"/>
      <c r="P6" s="13" t="n"/>
      <c r="Q6" s="12" t="n"/>
      <c r="R6" s="12" t="n"/>
      <c r="S6" s="12" t="n"/>
      <c r="T6" s="14" t="n"/>
      <c r="U6" s="15" t="inlineStr">
        <is>
          <t>https://www.ebrd.com/content/dam/ebrd_dxp/assets/pdfs/publications/ebrd-investments-1991-2025.xlsx</t>
        </is>
      </c>
      <c r="V6" s="15" t="inlineStr">
        <is>
          <t>2007-05-20</t>
        </is>
      </c>
      <c r="W6" s="15" t="inlineStr">
        <is>
          <t>Regional TFP: Export Import Bank of Ukraine (UkrExIm)</t>
        </is>
      </c>
    </row>
    <row r="7">
      <c r="A7" s="8" t="n">
        <v>6</v>
      </c>
      <c r="B7" s="8" t="inlineStr">
        <is>
          <t>AR-006</t>
        </is>
      </c>
      <c r="C7" s="8" t="inlineStr">
        <is>
          <t>A</t>
        </is>
      </c>
      <c r="D7" s="8" t="inlineStr">
        <is>
          <t>trade-finance line</t>
        </is>
      </c>
      <c r="E7" s="8" t="inlineStr">
        <is>
          <t>EBRD</t>
        </is>
      </c>
      <c r="F7" s="8" t="inlineStr">
        <is>
          <t>Regional TFP: Banque Misr</t>
        </is>
      </c>
      <c r="G7" s="8" t="inlineStr">
        <is>
          <t>Egypt</t>
        </is>
      </c>
      <c r="H7" s="8" t="n">
        <v>2018</v>
      </c>
      <c r="I7" s="9" t="n">
        <v>1488434031.41</v>
      </c>
      <c r="J7" s="8" t="inlineStr">
        <is>
          <t>EUR</t>
        </is>
      </c>
      <c r="K7" s="10" t="n">
        <v>1757.773611563797</v>
      </c>
      <c r="L7" s="8" t="n">
        <v>5</v>
      </c>
      <c r="M7" s="8" t="inlineStr">
        <is>
          <t>Trade lines revolve: check whether the figure is a LIMIT (one commitment) or a running total of trade covered over the years. Our figure is EBRD's 'Net Cumulative Bank Investment'.</t>
        </is>
      </c>
      <c r="N7" s="11">
        <f>HYPERLINK("https://www.google.com/search?q=site%3Aebrd.com%2Fhome%2Fwork-with-us%2Fprojects%2Fpsd+Regional+TFP%3A+Banque+Misr","Search EBRD")</f>
        <v/>
      </c>
      <c r="O7" s="12" t="n"/>
      <c r="P7" s="13" t="n"/>
      <c r="Q7" s="12" t="n"/>
      <c r="R7" s="12" t="n"/>
      <c r="S7" s="12" t="n"/>
      <c r="T7" s="14" t="n"/>
      <c r="U7" s="15" t="inlineStr">
        <is>
          <t>https://www.ebrd.com/content/dam/ebrd_dxp/assets/pdfs/publications/ebrd-investments-1991-2025.xlsx</t>
        </is>
      </c>
      <c r="V7" s="15" t="inlineStr">
        <is>
          <t>2018-09-26</t>
        </is>
      </c>
      <c r="W7" s="15" t="inlineStr">
        <is>
          <t>Regional TFP: Banque Misr</t>
        </is>
      </c>
    </row>
    <row r="8">
      <c r="A8" s="8" t="n">
        <v>7</v>
      </c>
      <c r="B8" s="8" t="inlineStr">
        <is>
          <t>AR-007</t>
        </is>
      </c>
      <c r="C8" s="8" t="inlineStr">
        <is>
          <t>A</t>
        </is>
      </c>
      <c r="D8" s="8" t="inlineStr">
        <is>
          <t>trade-finance line</t>
        </is>
      </c>
      <c r="E8" s="8" t="inlineStr">
        <is>
          <t>IDB Invest</t>
        </is>
      </c>
      <c r="F8" s="8" t="inlineStr">
        <is>
          <t>Banco de Reservas - TFFP</t>
        </is>
      </c>
      <c r="G8" s="8" t="inlineStr">
        <is>
          <t>Dominican Republic</t>
        </is>
      </c>
      <c r="H8" s="8" t="n">
        <v>2009</v>
      </c>
      <c r="I8" s="9" t="n">
        <v>1605000000</v>
      </c>
      <c r="J8" s="8" t="inlineStr">
        <is>
          <t>USD</t>
        </is>
      </c>
      <c r="K8" s="10" t="n">
        <v>1605</v>
      </c>
      <c r="L8" s="8" t="n">
        <v>1</v>
      </c>
      <c r="M8" s="8" t="inlineStr">
        <is>
          <t>Trade lines revolve: check whether the figure is a LIMIT (one commitment) or a running total of trade covered over the years.</t>
        </is>
      </c>
      <c r="N8" s="11">
        <f>HYPERLINK("https://idbinvest.org/en/projects/banco-de-reservas-tffp","Open page")</f>
        <v/>
      </c>
      <c r="O8" s="12" t="n"/>
      <c r="P8" s="13" t="n"/>
      <c r="Q8" s="12" t="n"/>
      <c r="R8" s="12" t="n"/>
      <c r="S8" s="12" t="n"/>
      <c r="T8" s="14" t="n"/>
      <c r="U8" s="15" t="inlineStr">
        <is>
          <t>https://idbinvest.org/en/projects/banco-de-reservas-tffp</t>
        </is>
      </c>
      <c r="V8" s="15" t="inlineStr">
        <is>
          <t>2009-03-24</t>
        </is>
      </c>
      <c r="W8" s="15" t="inlineStr">
        <is>
          <t>Banco de Reservas - TFFP</t>
        </is>
      </c>
    </row>
    <row r="9">
      <c r="A9" s="8" t="n">
        <v>8</v>
      </c>
      <c r="B9" s="8" t="inlineStr">
        <is>
          <t>AR-008</t>
        </is>
      </c>
      <c r="C9" s="8" t="inlineStr">
        <is>
          <t>A</t>
        </is>
      </c>
      <c r="D9" s="8" t="inlineStr">
        <is>
          <t>trade-finance line</t>
        </is>
      </c>
      <c r="E9" s="8" t="inlineStr">
        <is>
          <t>EBRD</t>
        </is>
      </c>
      <c r="F9" s="8" t="inlineStr">
        <is>
          <t>Regional TFP: Promsvyazbank</t>
        </is>
      </c>
      <c r="G9" s="8" t="inlineStr">
        <is>
          <t>Russia</t>
        </is>
      </c>
      <c r="H9" s="8" t="n">
        <v>2004</v>
      </c>
      <c r="I9" s="9" t="n">
        <v>1238986686.59</v>
      </c>
      <c r="J9" s="8" t="inlineStr">
        <is>
          <t>EUR</t>
        </is>
      </c>
      <c r="K9" s="10" t="n">
        <v>1541.178017422674</v>
      </c>
      <c r="L9" s="8" t="n">
        <v>6</v>
      </c>
      <c r="M9" s="8" t="inlineStr">
        <is>
          <t>Trade lines revolve: check whether the figure is a LIMIT (one commitment) or a running total of trade covered over the years. Our figure is EBRD's 'Net Cumulative Bank Investment'.</t>
        </is>
      </c>
      <c r="N9" s="11">
        <f>HYPERLINK("https://www.google.com/search?q=site%3Aebrd.com%2Fhome%2Fwork-with-us%2Fprojects%2Fpsd+Regional+TFP%3A+Promsvyazbank","Search EBRD")</f>
        <v/>
      </c>
      <c r="O9" s="12" t="n"/>
      <c r="P9" s="13" t="n"/>
      <c r="Q9" s="12" t="n"/>
      <c r="R9" s="12" t="n"/>
      <c r="S9" s="12" t="n"/>
      <c r="T9" s="14" t="n"/>
      <c r="U9" s="15" t="inlineStr">
        <is>
          <t>https://www.ebrd.com/content/dam/ebrd_dxp/assets/pdfs/publications/ebrd-investments-1991-2025.xlsx</t>
        </is>
      </c>
      <c r="V9" s="15" t="inlineStr">
        <is>
          <t>2004-11-12</t>
        </is>
      </c>
      <c r="W9" s="15" t="inlineStr">
        <is>
          <t>Regional TFP: Promsvyazbank</t>
        </is>
      </c>
    </row>
    <row r="10">
      <c r="A10" s="8" t="n">
        <v>9</v>
      </c>
      <c r="B10" s="8" t="inlineStr">
        <is>
          <t>AR-009</t>
        </is>
      </c>
      <c r="C10" s="8" t="inlineStr">
        <is>
          <t>A</t>
        </is>
      </c>
      <c r="D10" s="8" t="inlineStr">
        <is>
          <t>trade-finance line; IFC 'World Region' record of USD 500m or more</t>
        </is>
      </c>
      <c r="E10" s="8" t="inlineStr">
        <is>
          <t>IFC</t>
        </is>
      </c>
      <c r="F10" s="8" t="inlineStr">
        <is>
          <t>GTFP IV</t>
        </is>
      </c>
      <c r="G10" s="8" t="inlineStr">
        <is>
          <t>Regional — Global</t>
        </is>
      </c>
      <c r="H10" s="8" t="n">
        <v>2008</v>
      </c>
      <c r="I10" s="9" t="n">
        <v>1500000000</v>
      </c>
      <c r="J10" s="8" t="inlineStr">
        <is>
          <t>USD</t>
        </is>
      </c>
      <c r="K10" s="10" t="n">
        <v>1500</v>
      </c>
      <c r="L10" s="8" t="n">
        <v>2</v>
      </c>
      <c r="M10"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10" s="11">
        <f>HYPERLINK("https://disclosures.ifc.org/project-detail/SPI/27839/gtfp-iv","Open page")</f>
        <v/>
      </c>
      <c r="O10" s="12" t="n"/>
      <c r="P10" s="13" t="n"/>
      <c r="Q10" s="12" t="n"/>
      <c r="R10" s="12" t="n"/>
      <c r="S10" s="12" t="n"/>
      <c r="T10" s="14" t="n"/>
      <c r="U10" s="15" t="inlineStr">
        <is>
          <t>https://disclosures.ifc.org/project-detail/SPI/27839/gtfp-iv</t>
        </is>
      </c>
      <c r="V10" s="15" t="inlineStr">
        <is>
          <t>2008-12-18</t>
        </is>
      </c>
      <c r="W10" s="15" t="inlineStr">
        <is>
          <t>GTFP IV</t>
        </is>
      </c>
    </row>
    <row r="11">
      <c r="A11" s="8" t="n">
        <v>10</v>
      </c>
      <c r="B11" s="8" t="inlineStr">
        <is>
          <t>AR-010</t>
        </is>
      </c>
      <c r="C11" s="8" t="inlineStr">
        <is>
          <t>A</t>
        </is>
      </c>
      <c r="D11" s="8" t="inlineStr">
        <is>
          <t>trade-finance line</t>
        </is>
      </c>
      <c r="E11" s="8" t="inlineStr">
        <is>
          <t>EBRD</t>
        </is>
      </c>
      <c r="F11" s="8" t="inlineStr">
        <is>
          <t>Regional TFP: Ukrgasbank</t>
        </is>
      </c>
      <c r="G11" s="8" t="inlineStr">
        <is>
          <t>Ukraine</t>
        </is>
      </c>
      <c r="H11" s="8" t="n">
        <v>2019</v>
      </c>
      <c r="I11" s="9" t="n">
        <v>1280083937.52</v>
      </c>
      <c r="J11" s="8" t="inlineStr">
        <is>
          <t>EUR</t>
        </is>
      </c>
      <c r="K11" s="10" t="n">
        <v>1433.021965955202</v>
      </c>
      <c r="L11" s="8" t="n">
        <v>7</v>
      </c>
      <c r="M11" s="8" t="inlineStr">
        <is>
          <t>Trade lines revolve: check whether the figure is a LIMIT (one commitment) or a running total of trade covered over the years. Our figure is EBRD's 'Net Cumulative Bank Investment'.</t>
        </is>
      </c>
      <c r="N11" s="11">
        <f>HYPERLINK("https://www.google.com/search?q=site%3Aebrd.com%2Fhome%2Fwork-with-us%2Fprojects%2Fpsd+Regional+TFP%3A+Ukrgasbank","Search EBRD")</f>
        <v/>
      </c>
      <c r="O11" s="12" t="n"/>
      <c r="P11" s="13" t="n"/>
      <c r="Q11" s="12" t="n"/>
      <c r="R11" s="12" t="n"/>
      <c r="S11" s="12" t="n"/>
      <c r="T11" s="14" t="n"/>
      <c r="U11" s="15" t="inlineStr">
        <is>
          <t>https://www.ebrd.com/content/dam/ebrd_dxp/assets/pdfs/publications/ebrd-investments-1991-2025.xlsx</t>
        </is>
      </c>
      <c r="V11" s="15" t="inlineStr">
        <is>
          <t>2019-07-04</t>
        </is>
      </c>
      <c r="W11" s="15" t="inlineStr">
        <is>
          <t>Regional TFP: Ukrgasbank</t>
        </is>
      </c>
    </row>
    <row r="12">
      <c r="A12" s="8" t="n">
        <v>11</v>
      </c>
      <c r="B12" s="8" t="inlineStr">
        <is>
          <t>AR-011</t>
        </is>
      </c>
      <c r="C12" s="8" t="inlineStr">
        <is>
          <t>A</t>
        </is>
      </c>
      <c r="D12" s="8" t="inlineStr">
        <is>
          <t>trade-finance line</t>
        </is>
      </c>
      <c r="E12" s="8" t="inlineStr">
        <is>
          <t>EBRD</t>
        </is>
      </c>
      <c r="F12" s="8" t="inlineStr">
        <is>
          <t>Regional TFP: Raiffeisen Bank Ukraine</t>
        </is>
      </c>
      <c r="G12" s="8" t="inlineStr">
        <is>
          <t>Ukraine</t>
        </is>
      </c>
      <c r="H12" s="8" t="n">
        <v>2003</v>
      </c>
      <c r="I12" s="9" t="n">
        <v>1171892189.46</v>
      </c>
      <c r="J12" s="8" t="inlineStr">
        <is>
          <t>EUR</t>
        </is>
      </c>
      <c r="K12" s="10" t="n">
        <v>1325.597569029574</v>
      </c>
      <c r="L12" s="8" t="n">
        <v>8</v>
      </c>
      <c r="M12" s="8" t="inlineStr">
        <is>
          <t>Trade lines revolve: check whether the figure is a LIMIT (one commitment) or a running total of trade covered over the years. Our figure is EBRD's 'Net Cumulative Bank Investment'.</t>
        </is>
      </c>
      <c r="N12" s="11">
        <f>HYPERLINK("https://www.google.com/search?q=site%3Aebrd.com%2Fhome%2Fwork-with-us%2Fprojects%2Fpsd+Regional+TFP%3A+Raiffeisen+Bank+Ukraine","Search EBRD")</f>
        <v/>
      </c>
      <c r="O12" s="12" t="n"/>
      <c r="P12" s="13" t="n"/>
      <c r="Q12" s="12" t="n"/>
      <c r="R12" s="12" t="n"/>
      <c r="S12" s="12" t="n"/>
      <c r="T12" s="14" t="n"/>
      <c r="U12" s="15" t="inlineStr">
        <is>
          <t>https://www.ebrd.com/content/dam/ebrd_dxp/assets/pdfs/publications/ebrd-investments-1991-2025.xlsx</t>
        </is>
      </c>
      <c r="V12" s="15" t="inlineStr">
        <is>
          <t>2003-05-27</t>
        </is>
      </c>
      <c r="W12" s="15" t="inlineStr">
        <is>
          <t>Regional TFP: Raiffeisen Bank Ukraine</t>
        </is>
      </c>
    </row>
    <row r="13">
      <c r="A13" s="8" t="n">
        <v>12</v>
      </c>
      <c r="B13" s="8" t="inlineStr">
        <is>
          <t>AR-012</t>
        </is>
      </c>
      <c r="C13" s="8" t="inlineStr">
        <is>
          <t>A</t>
        </is>
      </c>
      <c r="D13" s="8" t="inlineStr">
        <is>
          <t>trade-finance line</t>
        </is>
      </c>
      <c r="E13" s="8" t="inlineStr">
        <is>
          <t>EBRD</t>
        </is>
      </c>
      <c r="F13" s="8" t="inlineStr">
        <is>
          <t>Regional TFP: National Bank of Greece</t>
        </is>
      </c>
      <c r="G13" s="8" t="inlineStr">
        <is>
          <t>Greece</t>
        </is>
      </c>
      <c r="H13" s="8" t="n">
        <v>2016</v>
      </c>
      <c r="I13" s="9" t="n">
        <v>969957946.92</v>
      </c>
      <c r="J13" s="8" t="inlineStr">
        <is>
          <t>EUR</t>
        </is>
      </c>
      <c r="K13" s="10" t="n">
        <v>1073.649361319589</v>
      </c>
      <c r="L13" s="8" t="n">
        <v>9</v>
      </c>
      <c r="M13" s="8" t="inlineStr">
        <is>
          <t>Trade lines revolve: check whether the figure is a LIMIT (one commitment) or a running total of trade covered over the years. Our figure is EBRD's 'Net Cumulative Bank Investment'.</t>
        </is>
      </c>
      <c r="N13" s="11">
        <f>HYPERLINK("https://www.google.com/search?q=site%3Aebrd.com%2Fhome%2Fwork-with-us%2Fprojects%2Fpsd+Regional+TFP%3A+National+Bank+of+Greece","Search EBRD")</f>
        <v/>
      </c>
      <c r="O13" s="12" t="n"/>
      <c r="P13" s="13" t="n"/>
      <c r="Q13" s="12" t="n"/>
      <c r="R13" s="12" t="n"/>
      <c r="S13" s="12" t="n"/>
      <c r="T13" s="14" t="n"/>
      <c r="U13" s="15" t="inlineStr">
        <is>
          <t>https://www.ebrd.com/content/dam/ebrd_dxp/assets/pdfs/publications/ebrd-investments-1991-2025.xlsx</t>
        </is>
      </c>
      <c r="V13" s="15" t="inlineStr">
        <is>
          <t>2016-03-01</t>
        </is>
      </c>
      <c r="W13" s="15" t="inlineStr">
        <is>
          <t>Regional TFP: National Bank of Greece</t>
        </is>
      </c>
    </row>
    <row r="14">
      <c r="A14" s="8" t="n">
        <v>13</v>
      </c>
      <c r="B14" s="8" t="inlineStr">
        <is>
          <t>AR-013</t>
        </is>
      </c>
      <c r="C14" s="8" t="inlineStr">
        <is>
          <t>A</t>
        </is>
      </c>
      <c r="D14" s="8" t="inlineStr">
        <is>
          <t>trade-finance line</t>
        </is>
      </c>
      <c r="E14" s="8" t="inlineStr">
        <is>
          <t>EBRD</t>
        </is>
      </c>
      <c r="F14" s="8" t="inlineStr">
        <is>
          <t>Regional TFP: TBC Bank (guarantee &amp; pre-export)</t>
        </is>
      </c>
      <c r="G14" s="8" t="inlineStr">
        <is>
          <t>Georgia</t>
        </is>
      </c>
      <c r="H14" s="8" t="n">
        <v>1999</v>
      </c>
      <c r="I14" s="9" t="n">
        <v>983113670.76</v>
      </c>
      <c r="J14" s="8" t="inlineStr">
        <is>
          <t>EUR</t>
        </is>
      </c>
      <c r="K14" s="10" t="n">
        <v>1047.77895556791</v>
      </c>
      <c r="L14" s="8" t="n">
        <v>10</v>
      </c>
      <c r="M14" s="8" t="inlineStr">
        <is>
          <t>Trade lines revolve: check whether the figure is a LIMIT (one commitment) or a running total of trade covered over the years. Our figure is EBRD's 'Net Cumulative Bank Investment'.</t>
        </is>
      </c>
      <c r="N14" s="11">
        <f>HYPERLINK("https://www.google.com/search?q=site%3Aebrd.com%2Fhome%2Fwork-with-us%2Fprojects%2Fpsd+Regional+TFP%3A+TBC+Bank+%28guarantee+%26+pre-export%29","Search EBRD")</f>
        <v/>
      </c>
      <c r="O14" s="12" t="n"/>
      <c r="P14" s="13" t="n"/>
      <c r="Q14" s="12" t="n"/>
      <c r="R14" s="12" t="n"/>
      <c r="S14" s="12" t="n"/>
      <c r="T14" s="14" t="n"/>
      <c r="U14" s="15" t="inlineStr">
        <is>
          <t>https://www.ebrd.com/content/dam/ebrd_dxp/assets/pdfs/publications/ebrd-investments-1991-2025.xlsx</t>
        </is>
      </c>
      <c r="V14" s="15" t="inlineStr">
        <is>
          <t>1999-08-17</t>
        </is>
      </c>
      <c r="W14" s="15" t="inlineStr">
        <is>
          <t>Regional TFP: TBC Bank (guarantee &amp; pre-export)</t>
        </is>
      </c>
    </row>
    <row r="15">
      <c r="A15" s="8" t="n">
        <v>14</v>
      </c>
      <c r="B15" s="8" t="inlineStr">
        <is>
          <t>AR-014</t>
        </is>
      </c>
      <c r="C15" s="8" t="inlineStr">
        <is>
          <t>A</t>
        </is>
      </c>
      <c r="D15" s="8" t="inlineStr">
        <is>
          <t>IFC 'World Region' record of USD 500m or more</t>
        </is>
      </c>
      <c r="E15" s="8" t="inlineStr">
        <is>
          <t>IFC</t>
        </is>
      </c>
      <c r="F15" s="8" t="inlineStr">
        <is>
          <t>Bank Recap Fund</t>
        </is>
      </c>
      <c r="G15" s="8" t="inlineStr">
        <is>
          <t>Regional — Global</t>
        </is>
      </c>
      <c r="H15" s="8" t="n">
        <v>2008</v>
      </c>
      <c r="I15" s="9" t="n">
        <v>1003000000</v>
      </c>
      <c r="J15" s="8" t="inlineStr">
        <is>
          <t>USD</t>
        </is>
      </c>
      <c r="K15" s="10" t="n">
        <v>1003</v>
      </c>
      <c r="L15" s="8" t="n">
        <v>3</v>
      </c>
      <c r="M15"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t>
        </is>
      </c>
      <c r="N15" s="11">
        <f>HYPERLINK("https://disclosures.ifc.org/project-detail/SPI/27832/bank-recap-fund","Open page")</f>
        <v/>
      </c>
      <c r="O15" s="12" t="n"/>
      <c r="P15" s="13" t="n"/>
      <c r="Q15" s="12" t="n"/>
      <c r="R15" s="12" t="n"/>
      <c r="S15" s="12" t="n"/>
      <c r="T15" s="14" t="n"/>
      <c r="U15" s="15" t="inlineStr">
        <is>
          <t>https://disclosures.ifc.org/project-detail/SPI/27832/bank-recap-fund</t>
        </is>
      </c>
      <c r="V15" s="15" t="inlineStr">
        <is>
          <t>2008-12-18</t>
        </is>
      </c>
      <c r="W15" s="15" t="inlineStr">
        <is>
          <t>Bank Recap Fund</t>
        </is>
      </c>
    </row>
    <row r="16">
      <c r="A16" s="8" t="n">
        <v>15</v>
      </c>
      <c r="B16" s="8" t="inlineStr">
        <is>
          <t>AR-015</t>
        </is>
      </c>
      <c r="C16" s="8" t="inlineStr">
        <is>
          <t>A</t>
        </is>
      </c>
      <c r="D16" s="8" t="inlineStr">
        <is>
          <t>trade-finance line</t>
        </is>
      </c>
      <c r="E16" s="8" t="inlineStr">
        <is>
          <t>ADB</t>
        </is>
      </c>
      <c r="F16" s="8" t="inlineStr">
        <is>
          <t>REG: TRADE FINANCE FACILITATION PROGRAM</t>
        </is>
      </c>
      <c r="G16" s="8" t="inlineStr">
        <is>
          <t>Regional — Asia</t>
        </is>
      </c>
      <c r="H16" s="8" t="n">
        <v>2009</v>
      </c>
      <c r="I16" s="9" t="n">
        <v>1000000000</v>
      </c>
      <c r="J16" s="8" t="inlineStr">
        <is>
          <t>USD</t>
        </is>
      </c>
      <c r="K16" s="10" t="n">
        <v>1000</v>
      </c>
      <c r="L16" s="8" t="n">
        <v>1</v>
      </c>
      <c r="M16" s="8" t="inlineStr">
        <is>
          <t>Trade lines revolve: check whether the figure is a LIMIT (one commitment) or a running total of trade covered over the years.</t>
        </is>
      </c>
      <c r="N16" s="11">
        <f>HYPERLINK("https://www.adb.org/projects/37909-024/main","Open page")</f>
        <v/>
      </c>
      <c r="O16" s="12" t="n"/>
      <c r="P16" s="13" t="n"/>
      <c r="Q16" s="12" t="n"/>
      <c r="R16" s="12" t="n"/>
      <c r="S16" s="12" t="n"/>
      <c r="T16" s="14" t="n"/>
      <c r="U16" s="15" t="inlineStr">
        <is>
          <t>https://www.adb.org/projects/37909-024/main</t>
        </is>
      </c>
      <c r="V16" s="15" t="inlineStr">
        <is>
          <t>2009-03-31</t>
        </is>
      </c>
      <c r="W16" s="15" t="inlineStr">
        <is>
          <t>REG: TRADE FINANCE FACILITATION PROGRAM</t>
        </is>
      </c>
    </row>
    <row r="17">
      <c r="A17" s="8" t="n">
        <v>16</v>
      </c>
      <c r="B17" s="8" t="inlineStr">
        <is>
          <t>AR-016</t>
        </is>
      </c>
      <c r="C17" s="8" t="inlineStr">
        <is>
          <t>A</t>
        </is>
      </c>
      <c r="D17" s="8" t="inlineStr">
        <is>
          <t>IFC 'World Region' record of USD 500m or more</t>
        </is>
      </c>
      <c r="E17" s="8" t="inlineStr">
        <is>
          <t>IFC</t>
        </is>
      </c>
      <c r="F17" s="8" t="inlineStr">
        <is>
          <t>Global Trade Liquidity Program</t>
        </is>
      </c>
      <c r="G17" s="8" t="inlineStr">
        <is>
          <t>Regional — Global</t>
        </is>
      </c>
      <c r="H17" s="8" t="n">
        <v>2009</v>
      </c>
      <c r="I17" s="9" t="n">
        <v>1000000000</v>
      </c>
      <c r="J17" s="8" t="inlineStr">
        <is>
          <t>USD</t>
        </is>
      </c>
      <c r="K17" s="10" t="n">
        <v>1000</v>
      </c>
      <c r="L17" s="8" t="n">
        <v>4</v>
      </c>
      <c r="M17"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t>
        </is>
      </c>
      <c r="N17" s="11">
        <f>HYPERLINK("https://disclosures.ifc.org/project-detail/SPI/28088/global-trade-liquidity-program","Open page")</f>
        <v/>
      </c>
      <c r="O17" s="12" t="n"/>
      <c r="P17" s="13" t="n"/>
      <c r="Q17" s="12" t="n"/>
      <c r="R17" s="12" t="n"/>
      <c r="S17" s="12" t="n"/>
      <c r="T17" s="14" t="n"/>
      <c r="U17" s="15" t="inlineStr">
        <is>
          <t>https://disclosures.ifc.org/project-detail/SPI/28088/global-trade-liquidity-program</t>
        </is>
      </c>
      <c r="V17" s="15" t="inlineStr">
        <is>
          <t>2009-03-31</t>
        </is>
      </c>
      <c r="W17" s="15" t="inlineStr">
        <is>
          <t>Global Trade Liquidity Program</t>
        </is>
      </c>
    </row>
    <row r="18">
      <c r="A18" s="8" t="n">
        <v>17</v>
      </c>
      <c r="B18" s="8" t="inlineStr">
        <is>
          <t>AR-017</t>
        </is>
      </c>
      <c r="C18" s="8" t="inlineStr">
        <is>
          <t>A</t>
        </is>
      </c>
      <c r="D18" s="8" t="inlineStr">
        <is>
          <t>trade-finance line; IFC 'World Region' record of USD 500m or more</t>
        </is>
      </c>
      <c r="E18" s="8" t="inlineStr">
        <is>
          <t>IFC</t>
        </is>
      </c>
      <c r="F18" s="8" t="inlineStr">
        <is>
          <t>TECF Citi</t>
        </is>
      </c>
      <c r="G18" s="8" t="inlineStr">
        <is>
          <t>Regional — Global</t>
        </is>
      </c>
      <c r="H18" s="8" t="n">
        <v>2024</v>
      </c>
      <c r="I18" s="9" t="n">
        <v>1000000000</v>
      </c>
      <c r="J18" s="8" t="inlineStr">
        <is>
          <t>USD</t>
        </is>
      </c>
      <c r="K18" s="10" t="n">
        <v>1000</v>
      </c>
      <c r="L18" s="8" t="n">
        <v>5</v>
      </c>
      <c r="M18"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18" s="11">
        <f>HYPERLINK("https://disclosures.ifc.org/project-detail/SII/49729/tecf-citi","Open page")</f>
        <v/>
      </c>
      <c r="O18" s="12" t="n"/>
      <c r="P18" s="13" t="n"/>
      <c r="Q18" s="12" t="n"/>
      <c r="R18" s="12" t="n"/>
      <c r="S18" s="12" t="n"/>
      <c r="T18" s="14" t="n"/>
      <c r="U18" s="15" t="inlineStr">
        <is>
          <t>https://disclosures.ifc.org/project-detail/SII/49729/tecf-citi</t>
        </is>
      </c>
      <c r="V18" s="15" t="inlineStr">
        <is>
          <t>2024-11-11</t>
        </is>
      </c>
      <c r="W18" s="15" t="inlineStr">
        <is>
          <t>TECF Citi</t>
        </is>
      </c>
    </row>
    <row r="19">
      <c r="A19" s="8" t="n">
        <v>18</v>
      </c>
      <c r="B19" s="8" t="inlineStr">
        <is>
          <t>AR-018</t>
        </is>
      </c>
      <c r="C19" s="8" t="inlineStr">
        <is>
          <t>A</t>
        </is>
      </c>
      <c r="D19" s="8" t="inlineStr">
        <is>
          <t>trade-finance line</t>
        </is>
      </c>
      <c r="E19" s="8" t="inlineStr">
        <is>
          <t>EBRD</t>
        </is>
      </c>
      <c r="F19" s="8" t="inlineStr">
        <is>
          <t>Regional TFP: ABC Factors</t>
        </is>
      </c>
      <c r="G19" s="8" t="inlineStr">
        <is>
          <t>Greece</t>
        </is>
      </c>
      <c r="H19" s="8" t="n">
        <v>2020</v>
      </c>
      <c r="I19" s="9" t="n">
        <v>860000000</v>
      </c>
      <c r="J19" s="8" t="inlineStr">
        <is>
          <t>EUR</t>
        </is>
      </c>
      <c r="K19" s="10" t="n">
        <v>982.28856</v>
      </c>
      <c r="L19" s="8" t="n">
        <v>11</v>
      </c>
      <c r="M19" s="8" t="inlineStr">
        <is>
          <t>Trade lines revolve: check whether the figure is a LIMIT (one commitment) or a running total of trade covered over the years. Our figure is EBRD's 'Net Cumulative Bank Investment'.</t>
        </is>
      </c>
      <c r="N19" s="11">
        <f>HYPERLINK("https://www.google.com/search?q=site%3Aebrd.com%2Fhome%2Fwork-with-us%2Fprojects%2Fpsd+Regional+TFP%3A+ABC+Factors","Search EBRD")</f>
        <v/>
      </c>
      <c r="O19" s="12" t="n"/>
      <c r="P19" s="13" t="n"/>
      <c r="Q19" s="12" t="n"/>
      <c r="R19" s="12" t="n"/>
      <c r="S19" s="12" t="n"/>
      <c r="T19" s="14" t="n"/>
      <c r="U19" s="15" t="inlineStr">
        <is>
          <t>https://www.ebrd.com/content/dam/ebrd_dxp/assets/pdfs/publications/ebrd-investments-1991-2025.xlsx</t>
        </is>
      </c>
      <c r="V19" s="15" t="inlineStr">
        <is>
          <t>2020-11-30</t>
        </is>
      </c>
      <c r="W19" s="15" t="inlineStr">
        <is>
          <t>Regional TFP: ABC Factors</t>
        </is>
      </c>
    </row>
    <row r="20">
      <c r="A20" s="8" t="n">
        <v>19</v>
      </c>
      <c r="B20" s="8" t="inlineStr">
        <is>
          <t>AR-019</t>
        </is>
      </c>
      <c r="C20" s="8" t="inlineStr">
        <is>
          <t>A</t>
        </is>
      </c>
      <c r="D20" s="8" t="inlineStr">
        <is>
          <t>trade-finance line</t>
        </is>
      </c>
      <c r="E20" s="8" t="inlineStr">
        <is>
          <t>EBRD</t>
        </is>
      </c>
      <c r="F20" s="8" t="inlineStr">
        <is>
          <t>Regional TFP: Alternatifbank</t>
        </is>
      </c>
      <c r="G20" s="8" t="inlineStr">
        <is>
          <t>Türkiye</t>
        </is>
      </c>
      <c r="H20" s="8" t="n">
        <v>2016</v>
      </c>
      <c r="I20" s="9" t="n">
        <v>860448084.15</v>
      </c>
      <c r="J20" s="8" t="inlineStr">
        <is>
          <t>EUR</t>
        </is>
      </c>
      <c r="K20" s="10" t="n">
        <v>952.4325656898874</v>
      </c>
      <c r="L20" s="8" t="n">
        <v>12</v>
      </c>
      <c r="M20" s="8" t="inlineStr">
        <is>
          <t>Trade lines revolve: check whether the figure is a LIMIT (one commitment) or a running total of trade covered over the years. Our figure is EBRD's 'Net Cumulative Bank Investment'.</t>
        </is>
      </c>
      <c r="N20" s="11">
        <f>HYPERLINK("https://www.google.com/search?q=site%3Aebrd.com%2Fhome%2Fwork-with-us%2Fprojects%2Fpsd+Regional+TFP%3A+Alternatifbank","Search EBRD")</f>
        <v/>
      </c>
      <c r="O20" s="12" t="n"/>
      <c r="P20" s="13" t="n"/>
      <c r="Q20" s="12" t="n"/>
      <c r="R20" s="12" t="n"/>
      <c r="S20" s="12" t="n"/>
      <c r="T20" s="14" t="n"/>
      <c r="U20" s="15" t="inlineStr">
        <is>
          <t>https://www.ebrd.com/content/dam/ebrd_dxp/assets/pdfs/publications/ebrd-investments-1991-2025.xlsx</t>
        </is>
      </c>
      <c r="V20" s="15" t="inlineStr">
        <is>
          <t>2016-12-01</t>
        </is>
      </c>
      <c r="W20" s="15" t="inlineStr">
        <is>
          <t>Regional TFP: Alternatifbank</t>
        </is>
      </c>
    </row>
    <row r="21">
      <c r="A21" s="8" t="n">
        <v>20</v>
      </c>
      <c r="B21" s="8" t="inlineStr">
        <is>
          <t>AR-020</t>
        </is>
      </c>
      <c r="C21" s="8" t="inlineStr">
        <is>
          <t>A</t>
        </is>
      </c>
      <c r="D21" s="8" t="inlineStr">
        <is>
          <t>trade-finance line</t>
        </is>
      </c>
      <c r="E21" s="8" t="inlineStr">
        <is>
          <t>EBRD</t>
        </is>
      </c>
      <c r="F21" s="8" t="inlineStr">
        <is>
          <t>Regional TFP: Bank of Georgia (Guarantee &amp; Pre-export)</t>
        </is>
      </c>
      <c r="G21" s="8" t="inlineStr">
        <is>
          <t>Georgia</t>
        </is>
      </c>
      <c r="H21" s="8" t="n">
        <v>1999</v>
      </c>
      <c r="I21" s="9" t="n">
        <v>818805910.13</v>
      </c>
      <c r="J21" s="8" t="inlineStr">
        <is>
          <t>EUR</t>
        </is>
      </c>
      <c r="K21" s="10" t="n">
        <v>872.6636876747109</v>
      </c>
      <c r="L21" s="8" t="n">
        <v>13</v>
      </c>
      <c r="M21" s="8" t="inlineStr">
        <is>
          <t>Trade lines revolve: check whether the figure is a LIMIT (one commitment) or a running total of trade covered over the years. Our figure is EBRD's 'Net Cumulative Bank Investment'.</t>
        </is>
      </c>
      <c r="N21" s="11">
        <f>HYPERLINK("https://www.google.com/search?q=site%3Aebrd.com%2Fhome%2Fwork-with-us%2Fprojects%2Fpsd+Regional+TFP%3A+Bank+of+Georgia+%28Guarantee+%26+Pre-export%29","Search EBRD")</f>
        <v/>
      </c>
      <c r="O21" s="12" t="n"/>
      <c r="P21" s="13" t="n"/>
      <c r="Q21" s="12" t="n"/>
      <c r="R21" s="12" t="n"/>
      <c r="S21" s="12" t="n"/>
      <c r="T21" s="14" t="n"/>
      <c r="U21" s="15" t="inlineStr">
        <is>
          <t>https://www.ebrd.com/content/dam/ebrd_dxp/assets/pdfs/publications/ebrd-investments-1991-2025.xlsx</t>
        </is>
      </c>
      <c r="V21" s="15" t="inlineStr">
        <is>
          <t>1999-07-29</t>
        </is>
      </c>
      <c r="W21" s="15" t="inlineStr">
        <is>
          <t>Regional TFP: Bank of Georgia (Guarantee &amp; Pre-export)</t>
        </is>
      </c>
    </row>
    <row r="22">
      <c r="A22" s="8" t="n">
        <v>21</v>
      </c>
      <c r="B22" s="8" t="inlineStr">
        <is>
          <t>AR-021</t>
        </is>
      </c>
      <c r="C22" s="8" t="inlineStr">
        <is>
          <t>A</t>
        </is>
      </c>
      <c r="D22" s="8" t="inlineStr">
        <is>
          <t>trade-finance line</t>
        </is>
      </c>
      <c r="E22" s="8" t="inlineStr">
        <is>
          <t>EBRD</t>
        </is>
      </c>
      <c r="F22" s="8" t="inlineStr">
        <is>
          <t>Regional TFP: Vakiflar Bankasi TAO</t>
        </is>
      </c>
      <c r="G22" s="8" t="inlineStr">
        <is>
          <t>Türkiye</t>
        </is>
      </c>
      <c r="H22" s="8" t="n">
        <v>2011</v>
      </c>
      <c r="I22" s="9" t="n">
        <v>610494681.79</v>
      </c>
      <c r="J22" s="8" t="inlineStr">
        <is>
          <t>EUR</t>
        </is>
      </c>
      <c r="K22" s="10" t="n">
        <v>849.7811247909995</v>
      </c>
      <c r="L22" s="8" t="n">
        <v>14</v>
      </c>
      <c r="M22" s="8" t="inlineStr">
        <is>
          <t>Trade lines revolve: check whether the figure is a LIMIT (one commitment) or a running total of trade covered over the years. Our figure is EBRD's 'Net Cumulative Bank Investment'.</t>
        </is>
      </c>
      <c r="N22" s="11">
        <f>HYPERLINK("https://www.google.com/search?q=site%3Aebrd.com%2Fhome%2Fwork-with-us%2Fprojects%2Fpsd+Regional+TFP%3A+Vakiflar+Bankasi+TAO","Search EBRD")</f>
        <v/>
      </c>
      <c r="O22" s="12" t="n"/>
      <c r="P22" s="13" t="n"/>
      <c r="Q22" s="12" t="n"/>
      <c r="R22" s="12" t="n"/>
      <c r="S22" s="12" t="n"/>
      <c r="T22" s="14" t="n"/>
      <c r="U22" s="15" t="inlineStr">
        <is>
          <t>https://www.ebrd.com/content/dam/ebrd_dxp/assets/pdfs/publications/ebrd-investments-1991-2025.xlsx</t>
        </is>
      </c>
      <c r="V22" s="15" t="inlineStr">
        <is>
          <t>2011-01-26</t>
        </is>
      </c>
      <c r="W22" s="15" t="inlineStr">
        <is>
          <t>Regional TFP: Vakiflar Bankasi TAO</t>
        </is>
      </c>
    </row>
    <row r="23">
      <c r="A23" s="8" t="n">
        <v>22</v>
      </c>
      <c r="B23" s="8" t="inlineStr">
        <is>
          <t>AR-022</t>
        </is>
      </c>
      <c r="C23" s="8" t="inlineStr">
        <is>
          <t>A</t>
        </is>
      </c>
      <c r="D23" s="8" t="inlineStr">
        <is>
          <t>trade-finance line</t>
        </is>
      </c>
      <c r="E23" s="8" t="inlineStr">
        <is>
          <t>IDB Invest</t>
        </is>
      </c>
      <c r="F23" s="8" t="inlineStr">
        <is>
          <t>Banco Industrial - TFFP</t>
        </is>
      </c>
      <c r="G23" s="8" t="inlineStr">
        <is>
          <t>Guatemala</t>
        </is>
      </c>
      <c r="H23" s="8" t="n">
        <v>2008</v>
      </c>
      <c r="I23" s="9" t="n">
        <v>848544000</v>
      </c>
      <c r="J23" s="8" t="inlineStr">
        <is>
          <t>USD</t>
        </is>
      </c>
      <c r="K23" s="10" t="n">
        <v>848.544</v>
      </c>
      <c r="L23" s="8" t="n">
        <v>2</v>
      </c>
      <c r="M23" s="8" t="inlineStr">
        <is>
          <t>Trade lines revolve: check whether the figure is a LIMIT (one commitment) or a running total of trade covered over the years.</t>
        </is>
      </c>
      <c r="N23" s="11">
        <f>HYPERLINK("https://idbinvest.org/en/projects/banco-industrial-tffp","Open page")</f>
        <v/>
      </c>
      <c r="O23" s="12" t="n"/>
      <c r="P23" s="13" t="n"/>
      <c r="Q23" s="12" t="n"/>
      <c r="R23" s="12" t="n"/>
      <c r="S23" s="12" t="n"/>
      <c r="T23" s="14" t="n"/>
      <c r="U23" s="15" t="inlineStr">
        <is>
          <t>https://idbinvest.org/en/projects/banco-industrial-tffp</t>
        </is>
      </c>
      <c r="V23" s="15" t="inlineStr">
        <is>
          <t>2008-07-28</t>
        </is>
      </c>
      <c r="W23" s="15" t="inlineStr">
        <is>
          <t>Banco Industrial - TFFP</t>
        </is>
      </c>
    </row>
    <row r="24">
      <c r="A24" s="8" t="n">
        <v>23</v>
      </c>
      <c r="B24" s="8" t="inlineStr">
        <is>
          <t>AR-023</t>
        </is>
      </c>
      <c r="C24" s="8" t="inlineStr">
        <is>
          <t>A</t>
        </is>
      </c>
      <c r="D24" s="8" t="inlineStr">
        <is>
          <t>trade-finance line</t>
        </is>
      </c>
      <c r="E24" s="8" t="inlineStr">
        <is>
          <t>EBRD</t>
        </is>
      </c>
      <c r="F24" s="8" t="inlineStr">
        <is>
          <t>Regional TFP: Alpha Bank</t>
        </is>
      </c>
      <c r="G24" s="8" t="inlineStr">
        <is>
          <t>Greece</t>
        </is>
      </c>
      <c r="H24" s="8" t="n">
        <v>2016</v>
      </c>
      <c r="I24" s="9" t="n">
        <v>753741949.72</v>
      </c>
      <c r="J24" s="8" t="inlineStr">
        <is>
          <t>EUR</t>
        </is>
      </c>
      <c r="K24" s="10" t="n">
        <v>834.3192253709173</v>
      </c>
      <c r="L24" s="8" t="n">
        <v>15</v>
      </c>
      <c r="M24" s="8" t="inlineStr">
        <is>
          <t>Trade lines revolve: check whether the figure is a LIMIT (one commitment) or a running total of trade covered over the years. Our figure is EBRD's 'Net Cumulative Bank Investment'.</t>
        </is>
      </c>
      <c r="N24" s="11">
        <f>HYPERLINK("https://www.google.com/search?q=site%3Aebrd.com%2Fhome%2Fwork-with-us%2Fprojects%2Fpsd+Regional+TFP%3A+Alpha+Bank","Search EBRD")</f>
        <v/>
      </c>
      <c r="O24" s="12" t="n"/>
      <c r="P24" s="13" t="n"/>
      <c r="Q24" s="12" t="n"/>
      <c r="R24" s="12" t="n"/>
      <c r="S24" s="12" t="n"/>
      <c r="T24" s="14" t="n"/>
      <c r="U24" s="15" t="inlineStr">
        <is>
          <t>https://www.ebrd.com/content/dam/ebrd_dxp/assets/pdfs/publications/ebrd-investments-1991-2025.xlsx</t>
        </is>
      </c>
      <c r="V24" s="15" t="inlineStr">
        <is>
          <t>2016-07-22</t>
        </is>
      </c>
      <c r="W24" s="15" t="inlineStr">
        <is>
          <t>Regional TFP: Alpha Bank</t>
        </is>
      </c>
    </row>
    <row r="25">
      <c r="A25" s="8" t="n">
        <v>24</v>
      </c>
      <c r="B25" s="8" t="inlineStr">
        <is>
          <t>AR-024</t>
        </is>
      </c>
      <c r="C25" s="8" t="inlineStr">
        <is>
          <t>A</t>
        </is>
      </c>
      <c r="D25" s="8" t="inlineStr">
        <is>
          <t>trade-finance line; IFC 'World Region' record of USD 500m or more</t>
        </is>
      </c>
      <c r="E25" s="8" t="inlineStr">
        <is>
          <t>IFC</t>
        </is>
      </c>
      <c r="F25" s="8" t="inlineStr">
        <is>
          <t>GTLP CITI VI</t>
        </is>
      </c>
      <c r="G25" s="8" t="inlineStr">
        <is>
          <t>Regional — Global</t>
        </is>
      </c>
      <c r="H25" s="8" t="n">
        <v>2024</v>
      </c>
      <c r="I25" s="9" t="n">
        <v>800000000</v>
      </c>
      <c r="J25" s="8" t="inlineStr">
        <is>
          <t>USD</t>
        </is>
      </c>
      <c r="K25" s="10" t="n">
        <v>800</v>
      </c>
      <c r="L25" s="8" t="n">
        <v>6</v>
      </c>
      <c r="M25"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25" s="11">
        <f>HYPERLINK("https://disclosures.ifc.org/project-detail/SII/49391/gtlp-citi-vi","Open page")</f>
        <v/>
      </c>
      <c r="O25" s="12" t="n"/>
      <c r="P25" s="13" t="n"/>
      <c r="Q25" s="12" t="n"/>
      <c r="R25" s="12" t="n"/>
      <c r="S25" s="12" t="n"/>
      <c r="T25" s="14" t="n"/>
      <c r="U25" s="15" t="inlineStr">
        <is>
          <t>https://disclosures.ifc.org/project-detail/SII/49391/gtlp-citi-vi</t>
        </is>
      </c>
      <c r="V25" s="15" t="inlineStr">
        <is>
          <t>2024-07-16</t>
        </is>
      </c>
      <c r="W25" s="15" t="inlineStr">
        <is>
          <t>GTLP CITI VI</t>
        </is>
      </c>
    </row>
    <row r="26">
      <c r="A26" s="8" t="n">
        <v>25</v>
      </c>
      <c r="B26" s="8" t="inlineStr">
        <is>
          <t>AR-025</t>
        </is>
      </c>
      <c r="C26" s="8" t="inlineStr">
        <is>
          <t>A</t>
        </is>
      </c>
      <c r="D26" s="8" t="inlineStr">
        <is>
          <t>trade-finance line</t>
        </is>
      </c>
      <c r="E26" s="8" t="inlineStr">
        <is>
          <t>IDB Invest</t>
        </is>
      </c>
      <c r="F26" s="8" t="inlineStr">
        <is>
          <t>Banco Santander Brasil S.A. - TFFP</t>
        </is>
      </c>
      <c r="G26" s="8" t="inlineStr">
        <is>
          <t>Brazil</t>
        </is>
      </c>
      <c r="H26" s="8" t="n">
        <v>2013</v>
      </c>
      <c r="I26" s="9" t="n">
        <v>777842000</v>
      </c>
      <c r="J26" s="8" t="inlineStr">
        <is>
          <t>USD</t>
        </is>
      </c>
      <c r="K26" s="10" t="n">
        <v>777.842</v>
      </c>
      <c r="L26" s="8" t="n">
        <v>3</v>
      </c>
      <c r="M26" s="8" t="inlineStr">
        <is>
          <t>Trade lines revolve: check whether the figure is a LIMIT (one commitment) or a running total of trade covered over the years.</t>
        </is>
      </c>
      <c r="N26" s="11">
        <f>HYPERLINK("https://idbinvest.org/en/projects/banco-santander-brasil-sa-tffp","Open page")</f>
        <v/>
      </c>
      <c r="O26" s="12" t="n"/>
      <c r="P26" s="13" t="n"/>
      <c r="Q26" s="12" t="n"/>
      <c r="R26" s="12" t="n"/>
      <c r="S26" s="12" t="n"/>
      <c r="T26" s="14" t="n"/>
      <c r="U26" s="15" t="inlineStr">
        <is>
          <t>https://idbinvest.org/en/projects/banco-santander-brasil-sa-tffp</t>
        </is>
      </c>
      <c r="V26" s="15" t="inlineStr">
        <is>
          <t>2013-11-25</t>
        </is>
      </c>
      <c r="W26" s="15" t="inlineStr">
        <is>
          <t>Banco Santander Brasil S.A. - TFFP</t>
        </is>
      </c>
    </row>
    <row r="27">
      <c r="A27" s="8" t="n">
        <v>26</v>
      </c>
      <c r="B27" s="8" t="inlineStr">
        <is>
          <t>AR-026</t>
        </is>
      </c>
      <c r="C27" s="8" t="inlineStr">
        <is>
          <t>A</t>
        </is>
      </c>
      <c r="D27" s="8" t="inlineStr">
        <is>
          <t>trade-finance line</t>
        </is>
      </c>
      <c r="E27" s="8" t="inlineStr">
        <is>
          <t>EBRD</t>
        </is>
      </c>
      <c r="F27" s="8" t="inlineStr">
        <is>
          <t>Regional TFP: Banque de Tunisie</t>
        </is>
      </c>
      <c r="G27" s="8" t="inlineStr">
        <is>
          <t>Tunisia</t>
        </is>
      </c>
      <c r="H27" s="8" t="n">
        <v>2018</v>
      </c>
      <c r="I27" s="9" t="n">
        <v>634173718.4</v>
      </c>
      <c r="J27" s="8" t="inlineStr">
        <is>
          <t>EUR</t>
        </is>
      </c>
      <c r="K27" s="10" t="n">
        <v>748.9306236130719</v>
      </c>
      <c r="L27" s="8" t="n">
        <v>18</v>
      </c>
      <c r="M27" s="8" t="inlineStr">
        <is>
          <t>Trade lines revolve: check whether the figure is a LIMIT (one commitment) or a running total of trade covered over the years. Our figure is EBRD's 'Net Cumulative Bank Investment'.</t>
        </is>
      </c>
      <c r="N27" s="11">
        <f>HYPERLINK("https://www.google.com/search?q=site%3Aebrd.com%2Fhome%2Fwork-with-us%2Fprojects%2Fpsd+Regional+TFP%3A+Banque+de+Tunisie","Search EBRD")</f>
        <v/>
      </c>
      <c r="O27" s="12" t="n"/>
      <c r="P27" s="13" t="n"/>
      <c r="Q27" s="12" t="n"/>
      <c r="R27" s="12" t="n"/>
      <c r="S27" s="12" t="n"/>
      <c r="T27" s="14" t="n"/>
      <c r="U27" s="15" t="inlineStr">
        <is>
          <t>https://www.ebrd.com/content/dam/ebrd_dxp/assets/pdfs/publications/ebrd-investments-1991-2025.xlsx</t>
        </is>
      </c>
      <c r="V27" s="15" t="inlineStr">
        <is>
          <t>2018-06-11</t>
        </is>
      </c>
      <c r="W27" s="15" t="inlineStr">
        <is>
          <t>Regional TFP: Banque de Tunisie</t>
        </is>
      </c>
    </row>
    <row r="28">
      <c r="A28" s="8" t="n">
        <v>27</v>
      </c>
      <c r="B28" s="8" t="inlineStr">
        <is>
          <t>AR-027</t>
        </is>
      </c>
      <c r="C28" s="8" t="inlineStr">
        <is>
          <t>A</t>
        </is>
      </c>
      <c r="D28" s="8" t="inlineStr">
        <is>
          <t>trade-finance line</t>
        </is>
      </c>
      <c r="E28" s="8" t="inlineStr">
        <is>
          <t>EBRD</t>
        </is>
      </c>
      <c r="F28" s="8" t="inlineStr">
        <is>
          <t>Regional TFP: QNB Finansbank</t>
        </is>
      </c>
      <c r="G28" s="8" t="inlineStr">
        <is>
          <t>Türkiye</t>
        </is>
      </c>
      <c r="H28" s="8" t="n">
        <v>2020</v>
      </c>
      <c r="I28" s="9" t="n">
        <v>651011407.23</v>
      </c>
      <c r="J28" s="8" t="inlineStr">
        <is>
          <t>EUR</t>
        </is>
      </c>
      <c r="K28" s="10" t="n">
        <v>743.5826252924771</v>
      </c>
      <c r="L28" s="8" t="n">
        <v>19</v>
      </c>
      <c r="M28" s="8" t="inlineStr">
        <is>
          <t>Trade lines revolve: check whether the figure is a LIMIT (one commitment) or a running total of trade covered over the years. Our figure is EBRD's 'Net Cumulative Bank Investment'.</t>
        </is>
      </c>
      <c r="N28" s="11">
        <f>HYPERLINK("https://www.google.com/search?q=site%3Aebrd.com%2Fhome%2Fwork-with-us%2Fprojects%2Fpsd+Regional+TFP%3A+QNB+Finansbank","Search EBRD")</f>
        <v/>
      </c>
      <c r="O28" s="12" t="n"/>
      <c r="P28" s="13" t="n"/>
      <c r="Q28" s="12" t="n"/>
      <c r="R28" s="12" t="n"/>
      <c r="S28" s="12" t="n"/>
      <c r="T28" s="14" t="n"/>
      <c r="U28" s="15" t="inlineStr">
        <is>
          <t>https://www.ebrd.com/content/dam/ebrd_dxp/assets/pdfs/publications/ebrd-investments-1991-2025.xlsx</t>
        </is>
      </c>
      <c r="V28" s="15" t="inlineStr">
        <is>
          <t>2020-06-11</t>
        </is>
      </c>
      <c r="W28" s="15" t="inlineStr">
        <is>
          <t>Regional TFP: QNB Finansbank</t>
        </is>
      </c>
    </row>
    <row r="29">
      <c r="A29" s="8" t="n">
        <v>28</v>
      </c>
      <c r="B29" s="8" t="inlineStr">
        <is>
          <t>AR-028</t>
        </is>
      </c>
      <c r="C29" s="8" t="inlineStr">
        <is>
          <t>A</t>
        </is>
      </c>
      <c r="D29" s="8" t="inlineStr">
        <is>
          <t>trade-finance line</t>
        </is>
      </c>
      <c r="E29" s="8" t="inlineStr">
        <is>
          <t>IDB Invest</t>
        </is>
      </c>
      <c r="F29" s="8" t="inlineStr">
        <is>
          <t>Banco ABC Brasil S.A. - TFFP Line</t>
        </is>
      </c>
      <c r="G29" s="8" t="inlineStr">
        <is>
          <t>Brazil</t>
        </is>
      </c>
      <c r="H29" s="8" t="n">
        <v>2020</v>
      </c>
      <c r="I29" s="9" t="n">
        <v>741018000</v>
      </c>
      <c r="J29" s="8" t="inlineStr">
        <is>
          <t>USD</t>
        </is>
      </c>
      <c r="K29" s="10" t="n">
        <v>741.018</v>
      </c>
      <c r="L29" s="8" t="n">
        <v>4</v>
      </c>
      <c r="M29" s="8" t="inlineStr">
        <is>
          <t>Trade lines revolve: check whether the figure is a LIMIT (one commitment) or a running total of trade covered over the years.</t>
        </is>
      </c>
      <c r="N29" s="11">
        <f>HYPERLINK("https://idbinvest.org/en/projects/banco-abc-brasil-sa-tffp-line","Open page")</f>
        <v/>
      </c>
      <c r="O29" s="12" t="n"/>
      <c r="P29" s="13" t="n"/>
      <c r="Q29" s="12" t="n"/>
      <c r="R29" s="12" t="n"/>
      <c r="S29" s="12" t="n"/>
      <c r="T29" s="14" t="n"/>
      <c r="U29" s="15" t="inlineStr">
        <is>
          <t>https://idbinvest.org/en/projects/banco-abc-brasil-sa-tffp-line</t>
        </is>
      </c>
      <c r="V29" s="15" t="inlineStr">
        <is>
          <t>2020-05-29</t>
        </is>
      </c>
      <c r="W29" s="15" t="inlineStr">
        <is>
          <t>Banco ABC Brasil S.A. - TFFP Line</t>
        </is>
      </c>
    </row>
    <row r="30">
      <c r="A30" s="8" t="n">
        <v>29</v>
      </c>
      <c r="B30" s="8" t="inlineStr">
        <is>
          <t>AR-029</t>
        </is>
      </c>
      <c r="C30" s="8" t="inlineStr">
        <is>
          <t>A</t>
        </is>
      </c>
      <c r="D30" s="8" t="inlineStr">
        <is>
          <t>trade-finance line</t>
        </is>
      </c>
      <c r="E30" s="8" t="inlineStr">
        <is>
          <t>EBRD</t>
        </is>
      </c>
      <c r="F30" s="8" t="inlineStr">
        <is>
          <t>Regional TFP: Piraeus Bank S.A.</t>
        </is>
      </c>
      <c r="G30" s="8" t="inlineStr">
        <is>
          <t>Greece</t>
        </is>
      </c>
      <c r="H30" s="8" t="n">
        <v>2016</v>
      </c>
      <c r="I30" s="9" t="n">
        <v>597587181.87</v>
      </c>
      <c r="J30" s="8" t="inlineStr">
        <is>
          <t>EUR</t>
        </is>
      </c>
      <c r="K30" s="10" t="n">
        <v>661.4710443734486</v>
      </c>
      <c r="L30" s="8" t="n">
        <v>20</v>
      </c>
      <c r="M30" s="8" t="inlineStr">
        <is>
          <t>Trade lines revolve: check whether the figure is a LIMIT (one commitment) or a running total of trade covered over the years. Our figure is EBRD's 'Net Cumulative Bank Investment'.</t>
        </is>
      </c>
      <c r="N30" s="11">
        <f>HYPERLINK("https://www.google.com/search?q=site%3Aebrd.com%2Fhome%2Fwork-with-us%2Fprojects%2Fpsd+Regional+TFP%3A+Piraeus+Bank+S.A.","Search EBRD")</f>
        <v/>
      </c>
      <c r="O30" s="12" t="n"/>
      <c r="P30" s="13" t="n"/>
      <c r="Q30" s="12" t="n"/>
      <c r="R30" s="12" t="n"/>
      <c r="S30" s="12" t="n"/>
      <c r="T30" s="14" t="n"/>
      <c r="U30" s="15" t="inlineStr">
        <is>
          <t>https://www.ebrd.com/content/dam/ebrd_dxp/assets/pdfs/publications/ebrd-investments-1991-2025.xlsx</t>
        </is>
      </c>
      <c r="V30" s="15" t="inlineStr">
        <is>
          <t>2016-10-03</t>
        </is>
      </c>
      <c r="W30" s="15" t="inlineStr">
        <is>
          <t>Regional TFP: Piraeus Bank S.A.</t>
        </is>
      </c>
    </row>
    <row r="31">
      <c r="A31" s="8" t="n">
        <v>30</v>
      </c>
      <c r="B31" s="8" t="inlineStr">
        <is>
          <t>AR-030</t>
        </is>
      </c>
      <c r="C31" s="8" t="inlineStr">
        <is>
          <t>A</t>
        </is>
      </c>
      <c r="D31" s="8" t="inlineStr">
        <is>
          <t>trade-finance line; IFC 'World Region' record of USD 500m or more</t>
        </is>
      </c>
      <c r="E31" s="8" t="inlineStr">
        <is>
          <t>IFC</t>
        </is>
      </c>
      <c r="F31" s="8" t="inlineStr">
        <is>
          <t>GTFP- IDA PSW</t>
        </is>
      </c>
      <c r="G31" s="8" t="inlineStr">
        <is>
          <t>Regional — Global</t>
        </is>
      </c>
      <c r="H31" s="8" t="n">
        <v>2020</v>
      </c>
      <c r="I31" s="9" t="n">
        <v>650000000</v>
      </c>
      <c r="J31" s="8" t="inlineStr">
        <is>
          <t>USD</t>
        </is>
      </c>
      <c r="K31" s="10" t="n">
        <v>650</v>
      </c>
      <c r="L31" s="8" t="n">
        <v>7</v>
      </c>
      <c r="M31"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31" s="11">
        <f>HYPERLINK("https://disclosures.ifc.org/project-detail/SII/44011/gtfp--ida-psw","Open page")</f>
        <v/>
      </c>
      <c r="O31" s="12" t="n"/>
      <c r="P31" s="13" t="n"/>
      <c r="Q31" s="12" t="n"/>
      <c r="R31" s="12" t="n"/>
      <c r="S31" s="12" t="n"/>
      <c r="T31" s="14" t="n"/>
      <c r="U31" s="15" t="inlineStr">
        <is>
          <t>https://disclosures.ifc.org/project-detail/SII/44011/gtfp--ida-psw</t>
        </is>
      </c>
      <c r="V31" s="15" t="inlineStr">
        <is>
          <t>2020-04-24</t>
        </is>
      </c>
      <c r="W31" s="15" t="inlineStr">
        <is>
          <t>GTFP- IDA PSW</t>
        </is>
      </c>
    </row>
    <row r="32">
      <c r="A32" s="8" t="n">
        <v>31</v>
      </c>
      <c r="B32" s="8" t="inlineStr">
        <is>
          <t>AR-031</t>
        </is>
      </c>
      <c r="C32" s="8" t="inlineStr">
        <is>
          <t>A</t>
        </is>
      </c>
      <c r="D32" s="8" t="inlineStr">
        <is>
          <t>trade-finance line</t>
        </is>
      </c>
      <c r="E32" s="8" t="inlineStr">
        <is>
          <t>EBRD</t>
        </is>
      </c>
      <c r="F32" s="8" t="inlineStr">
        <is>
          <t>Regional TFP: UzPSB</t>
        </is>
      </c>
      <c r="G32" s="8" t="inlineStr">
        <is>
          <t>Uzbekistan</t>
        </is>
      </c>
      <c r="H32" s="8" t="n">
        <v>2019</v>
      </c>
      <c r="I32" s="9" t="n">
        <v>570492621.55</v>
      </c>
      <c r="J32" s="8" t="inlineStr">
        <is>
          <t>EUR</t>
        </is>
      </c>
      <c r="K32" s="10" t="n">
        <v>638.6522275096862</v>
      </c>
      <c r="L32" s="8" t="n">
        <v>21</v>
      </c>
      <c r="M32" s="8" t="inlineStr">
        <is>
          <t>Trade lines revolve: check whether the figure is a LIMIT (one commitment) or a running total of trade covered over the years. Our figure is EBRD's 'Net Cumulative Bank Investment'.</t>
        </is>
      </c>
      <c r="N32" s="11">
        <f>HYPERLINK("https://www.google.com/search?q=site%3Aebrd.com%2Fhome%2Fwork-with-us%2Fprojects%2Fpsd+Regional+TFP%3A+UzPSB","Search EBRD")</f>
        <v/>
      </c>
      <c r="O32" s="12" t="n"/>
      <c r="P32" s="13" t="n"/>
      <c r="Q32" s="12" t="n"/>
      <c r="R32" s="12" t="n"/>
      <c r="S32" s="12" t="n"/>
      <c r="T32" s="14" t="n"/>
      <c r="U32" s="15" t="inlineStr">
        <is>
          <t>https://www.ebrd.com/content/dam/ebrd_dxp/assets/pdfs/publications/ebrd-investments-1991-2025.xlsx</t>
        </is>
      </c>
      <c r="V32" s="15" t="inlineStr">
        <is>
          <t>2019-03-21</t>
        </is>
      </c>
      <c r="W32" s="15" t="inlineStr">
        <is>
          <t>Regional TFP: UzPSB</t>
        </is>
      </c>
    </row>
    <row r="33">
      <c r="A33" s="8" t="n">
        <v>32</v>
      </c>
      <c r="B33" s="8" t="inlineStr">
        <is>
          <t>AR-032</t>
        </is>
      </c>
      <c r="C33" s="8" t="inlineStr">
        <is>
          <t>A</t>
        </is>
      </c>
      <c r="D33" s="8" t="inlineStr">
        <is>
          <t>trade-finance line</t>
        </is>
      </c>
      <c r="E33" s="8" t="inlineStr">
        <is>
          <t>EBRD</t>
        </is>
      </c>
      <c r="F33" s="8" t="inlineStr">
        <is>
          <t>Regional TFP: JSCB OTP Bank, Ukraine</t>
        </is>
      </c>
      <c r="G33" s="8" t="inlineStr">
        <is>
          <t>Ukraine</t>
        </is>
      </c>
      <c r="H33" s="8" t="n">
        <v>2002</v>
      </c>
      <c r="I33" s="9" t="n">
        <v>659344291.53</v>
      </c>
      <c r="J33" s="8" t="inlineStr">
        <is>
          <t>EUR</t>
        </is>
      </c>
      <c r="K33" s="10" t="n">
        <v>623.4588191191882</v>
      </c>
      <c r="L33" s="8" t="n">
        <v>22</v>
      </c>
      <c r="M33" s="8" t="inlineStr">
        <is>
          <t>Trade lines revolve: check whether the figure is a LIMIT (one commitment) or a running total of trade covered over the years. Our figure is EBRD's 'Net Cumulative Bank Investment'.</t>
        </is>
      </c>
      <c r="N33" s="11">
        <f>HYPERLINK("https://www.google.com/search?q=site%3Aebrd.com%2Fhome%2Fwork-with-us%2Fprojects%2Fpsd+Regional+TFP%3A+JSCB+OTP+Bank%2C+Ukraine","Search EBRD")</f>
        <v/>
      </c>
      <c r="O33" s="12" t="n"/>
      <c r="P33" s="13" t="n"/>
      <c r="Q33" s="12" t="n"/>
      <c r="R33" s="12" t="n"/>
      <c r="S33" s="12" t="n"/>
      <c r="T33" s="14" t="n"/>
      <c r="U33" s="15" t="inlineStr">
        <is>
          <t>https://www.ebrd.com/content/dam/ebrd_dxp/assets/pdfs/publications/ebrd-investments-1991-2025.xlsx</t>
        </is>
      </c>
      <c r="V33" s="15" t="inlineStr">
        <is>
          <t>2002-10-22</t>
        </is>
      </c>
      <c r="W33" s="15" t="inlineStr">
        <is>
          <t>Regional TFP: JSCB OTP Bank, Ukraine</t>
        </is>
      </c>
    </row>
    <row r="34">
      <c r="A34" s="8" t="n">
        <v>33</v>
      </c>
      <c r="B34" s="8" t="inlineStr">
        <is>
          <t>AR-033</t>
        </is>
      </c>
      <c r="C34" s="8" t="inlineStr">
        <is>
          <t>A</t>
        </is>
      </c>
      <c r="D34" s="8" t="inlineStr">
        <is>
          <t>trade-finance line; IFC 'World Region' record of USD 500m or more</t>
        </is>
      </c>
      <c r="E34" s="8" t="inlineStr">
        <is>
          <t>IFC</t>
        </is>
      </c>
      <c r="F34" s="8" t="inlineStr">
        <is>
          <t>GTLP Citi III</t>
        </is>
      </c>
      <c r="G34" s="8" t="inlineStr">
        <is>
          <t>Regional — Global</t>
        </is>
      </c>
      <c r="H34" s="8" t="n">
        <v>2015</v>
      </c>
      <c r="I34" s="9" t="n">
        <v>600000000</v>
      </c>
      <c r="J34" s="8" t="inlineStr">
        <is>
          <t>USD</t>
        </is>
      </c>
      <c r="K34" s="10" t="n">
        <v>600</v>
      </c>
      <c r="L34" s="8" t="n">
        <v>8</v>
      </c>
      <c r="M34"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34" s="11">
        <f>HYPERLINK("https://disclosures.ifc.org/project-detail/SII/36386/gtlp-citi-iii","Open page")</f>
        <v/>
      </c>
      <c r="O34" s="12" t="n"/>
      <c r="P34" s="13" t="n"/>
      <c r="Q34" s="12" t="n"/>
      <c r="R34" s="12" t="n"/>
      <c r="S34" s="12" t="n"/>
      <c r="T34" s="14" t="n"/>
      <c r="U34" s="15" t="inlineStr">
        <is>
          <t>https://disclosures.ifc.org/project-detail/SII/36386/gtlp-citi-iii</t>
        </is>
      </c>
      <c r="V34" s="15" t="inlineStr">
        <is>
          <t>2015-05-15</t>
        </is>
      </c>
      <c r="W34" s="15" t="inlineStr">
        <is>
          <t>GTLP Citi III</t>
        </is>
      </c>
    </row>
    <row r="35">
      <c r="A35" s="8" t="n">
        <v>34</v>
      </c>
      <c r="B35" s="8" t="inlineStr">
        <is>
          <t>AR-034</t>
        </is>
      </c>
      <c r="C35" s="8" t="inlineStr">
        <is>
          <t>A</t>
        </is>
      </c>
      <c r="D35" s="8" t="inlineStr">
        <is>
          <t>trade-finance line; IFC 'World Region' record of USD 500m or more</t>
        </is>
      </c>
      <c r="E35" s="8" t="inlineStr">
        <is>
          <t>IFC</t>
        </is>
      </c>
      <c r="F35" s="8" t="inlineStr">
        <is>
          <t>GTLP Citi IV</t>
        </is>
      </c>
      <c r="G35" s="8" t="inlineStr">
        <is>
          <t>Regional — Global</t>
        </is>
      </c>
      <c r="H35" s="8" t="n">
        <v>2018</v>
      </c>
      <c r="I35" s="9" t="n">
        <v>600000000</v>
      </c>
      <c r="J35" s="8" t="inlineStr">
        <is>
          <t>USD</t>
        </is>
      </c>
      <c r="K35" s="10" t="n">
        <v>600</v>
      </c>
      <c r="L35" s="8" t="n">
        <v>9</v>
      </c>
      <c r="M35"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35" s="11">
        <f>HYPERLINK("https://disclosures.ifc.org/project-detail/SII/40688/gtlp-citi-iv","Open page")</f>
        <v/>
      </c>
      <c r="O35" s="12" t="n"/>
      <c r="P35" s="13" t="n"/>
      <c r="Q35" s="12" t="n"/>
      <c r="R35" s="12" t="n"/>
      <c r="S35" s="12" t="n"/>
      <c r="T35" s="14" t="n"/>
      <c r="U35" s="15" t="inlineStr">
        <is>
          <t>https://disclosures.ifc.org/project-detail/SII/40688/gtlp-citi-iv</t>
        </is>
      </c>
      <c r="V35" s="15" t="inlineStr">
        <is>
          <t>2018-05-31</t>
        </is>
      </c>
      <c r="W35" s="15" t="inlineStr">
        <is>
          <t>GTLP Citi IV</t>
        </is>
      </c>
    </row>
    <row r="36">
      <c r="A36" s="8" t="n">
        <v>35</v>
      </c>
      <c r="B36" s="8" t="inlineStr">
        <is>
          <t>AR-035</t>
        </is>
      </c>
      <c r="C36" s="8" t="inlineStr">
        <is>
          <t>A</t>
        </is>
      </c>
      <c r="D36" s="8" t="inlineStr">
        <is>
          <t>trade-finance line; IFC 'World Region' record of USD 500m or more</t>
        </is>
      </c>
      <c r="E36" s="8" t="inlineStr">
        <is>
          <t>IFC</t>
        </is>
      </c>
      <c r="F36" s="8" t="inlineStr">
        <is>
          <t>GTLP CITI V</t>
        </is>
      </c>
      <c r="G36" s="8" t="inlineStr">
        <is>
          <t>Regional — Global</t>
        </is>
      </c>
      <c r="H36" s="8" t="n"/>
      <c r="I36" s="9" t="n">
        <v>600000000</v>
      </c>
      <c r="J36" s="8" t="inlineStr">
        <is>
          <t>USD</t>
        </is>
      </c>
      <c r="K36" s="10" t="n">
        <v>600</v>
      </c>
      <c r="L36" s="8" t="n">
        <v>10</v>
      </c>
      <c r="M36"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36" s="11">
        <f>HYPERLINK("https://disclosures.ifc.org/project-detail/SII/45495/gtlp-citi-v","Open page")</f>
        <v/>
      </c>
      <c r="O36" s="12" t="n"/>
      <c r="P36" s="13" t="n"/>
      <c r="Q36" s="12" t="n"/>
      <c r="R36" s="12" t="n"/>
      <c r="S36" s="12" t="n"/>
      <c r="T36" s="14" t="n"/>
      <c r="U36" s="15" t="inlineStr">
        <is>
          <t>https://disclosures.ifc.org/project-detail/SII/45495/gtlp-citi-v</t>
        </is>
      </c>
      <c r="V36" s="15" t="n"/>
      <c r="W36" s="15" t="inlineStr">
        <is>
          <t>GTLP CITI V</t>
        </is>
      </c>
    </row>
    <row r="37">
      <c r="A37" s="8" t="n">
        <v>36</v>
      </c>
      <c r="B37" s="8" t="inlineStr">
        <is>
          <t>AR-036</t>
        </is>
      </c>
      <c r="C37" s="8" t="inlineStr">
        <is>
          <t>A</t>
        </is>
      </c>
      <c r="D37" s="8" t="inlineStr">
        <is>
          <t>trade-finance line</t>
        </is>
      </c>
      <c r="E37" s="8" t="inlineStr">
        <is>
          <t>EBRD</t>
        </is>
      </c>
      <c r="F37" s="8" t="inlineStr">
        <is>
          <t>Regional TFP: Vneshtorgbank (Guarantee &amp; Pre-export)</t>
        </is>
      </c>
      <c r="G37" s="8" t="inlineStr">
        <is>
          <t>Russia</t>
        </is>
      </c>
      <c r="H37" s="8" t="n">
        <v>1999</v>
      </c>
      <c r="I37" s="9" t="n">
        <v>548856911.34</v>
      </c>
      <c r="J37" s="8" t="inlineStr">
        <is>
          <t>EUR</t>
        </is>
      </c>
      <c r="K37" s="10" t="n">
        <v>584.9585235402999</v>
      </c>
      <c r="L37" s="8" t="n">
        <v>24</v>
      </c>
      <c r="M37" s="8" t="inlineStr">
        <is>
          <t>Trade lines revolve: check whether the figure is a LIMIT (one commitment) or a running total of trade covered over the years. Our figure is EBRD's 'Net Cumulative Bank Investment'.</t>
        </is>
      </c>
      <c r="N37" s="11">
        <f>HYPERLINK("https://www.google.com/search?q=site%3Aebrd.com%2Fhome%2Fwork-with-us%2Fprojects%2Fpsd+Regional+TFP%3A+Vneshtorgbank+%28Guarantee+%26+Pre-export%29","Search EBRD")</f>
        <v/>
      </c>
      <c r="O37" s="12" t="n"/>
      <c r="P37" s="13" t="n"/>
      <c r="Q37" s="12" t="n"/>
      <c r="R37" s="12" t="n"/>
      <c r="S37" s="12" t="n"/>
      <c r="T37" s="14" t="n"/>
      <c r="U37" s="15" t="inlineStr">
        <is>
          <t>https://www.ebrd.com/content/dam/ebrd_dxp/assets/pdfs/publications/ebrd-investments-1991-2025.xlsx</t>
        </is>
      </c>
      <c r="V37" s="15" t="inlineStr">
        <is>
          <t>1999-06-10</t>
        </is>
      </c>
      <c r="W37" s="15" t="inlineStr">
        <is>
          <t>Regional TFP: Vneshtorgbank (Guarantee &amp; Pre-export)</t>
        </is>
      </c>
    </row>
    <row r="38">
      <c r="A38" s="8" t="n">
        <v>37</v>
      </c>
      <c r="B38" s="8" t="inlineStr">
        <is>
          <t>AR-037</t>
        </is>
      </c>
      <c r="C38" s="8" t="inlineStr">
        <is>
          <t>A</t>
        </is>
      </c>
      <c r="D38" s="8" t="inlineStr">
        <is>
          <t>trade-finance line</t>
        </is>
      </c>
      <c r="E38" s="8" t="inlineStr">
        <is>
          <t>EBRD</t>
        </is>
      </c>
      <c r="F38" s="8" t="inlineStr">
        <is>
          <t>Regional TFP: Burgan Bank AS</t>
        </is>
      </c>
      <c r="G38" s="8" t="inlineStr">
        <is>
          <t>Türkiye</t>
        </is>
      </c>
      <c r="H38" s="8" t="n">
        <v>2017</v>
      </c>
      <c r="I38" s="9" t="n">
        <v>504013262.68</v>
      </c>
      <c r="J38" s="8" t="inlineStr">
        <is>
          <t>EUR</t>
        </is>
      </c>
      <c r="K38" s="10" t="n">
        <v>569.3742065976051</v>
      </c>
      <c r="L38" s="8" t="n">
        <v>25</v>
      </c>
      <c r="M38" s="8" t="inlineStr">
        <is>
          <t>Trade lines revolve: check whether the figure is a LIMIT (one commitment) or a running total of trade covered over the years. Our figure is EBRD's 'Net Cumulative Bank Investment'.</t>
        </is>
      </c>
      <c r="N38" s="11">
        <f>HYPERLINK("https://www.google.com/search?q=site%3Aebrd.com%2Fhome%2Fwork-with-us%2Fprojects%2Fpsd+Regional+TFP%3A+Burgan+Bank+AS","Search EBRD")</f>
        <v/>
      </c>
      <c r="O38" s="12" t="n"/>
      <c r="P38" s="13" t="n"/>
      <c r="Q38" s="12" t="n"/>
      <c r="R38" s="12" t="n"/>
      <c r="S38" s="12" t="n"/>
      <c r="T38" s="14" t="n"/>
      <c r="U38" s="15" t="inlineStr">
        <is>
          <t>https://www.ebrd.com/content/dam/ebrd_dxp/assets/pdfs/publications/ebrd-investments-1991-2025.xlsx</t>
        </is>
      </c>
      <c r="V38" s="15" t="inlineStr">
        <is>
          <t>2017-02-09</t>
        </is>
      </c>
      <c r="W38" s="15" t="inlineStr">
        <is>
          <t>Regional TFP: Burgan Bank AS</t>
        </is>
      </c>
    </row>
    <row r="39">
      <c r="A39" s="8" t="n">
        <v>38</v>
      </c>
      <c r="B39" s="8" t="inlineStr">
        <is>
          <t>AR-038</t>
        </is>
      </c>
      <c r="C39" s="8" t="inlineStr">
        <is>
          <t>A</t>
        </is>
      </c>
      <c r="D39" s="8" t="inlineStr">
        <is>
          <t>trade-finance line</t>
        </is>
      </c>
      <c r="E39" s="8" t="inlineStr">
        <is>
          <t>EBRD</t>
        </is>
      </c>
      <c r="F39" s="8" t="inlineStr">
        <is>
          <t>Regional TFP: Ameria Bank CJSC</t>
        </is>
      </c>
      <c r="G39" s="8" t="inlineStr">
        <is>
          <t>Armenia</t>
        </is>
      </c>
      <c r="H39" s="8" t="n">
        <v>2010</v>
      </c>
      <c r="I39" s="9" t="n">
        <v>400130566.69</v>
      </c>
      <c r="J39" s="8" t="inlineStr">
        <is>
          <t>EUR</t>
        </is>
      </c>
      <c r="K39" s="10" t="n">
        <v>530.4598944805667</v>
      </c>
      <c r="L39" s="8" t="n">
        <v>29</v>
      </c>
      <c r="M39" s="8" t="inlineStr">
        <is>
          <t>Trade lines revolve: check whether the figure is a LIMIT (one commitment) or a running total of trade covered over the years. Our figure is EBRD's 'Net Cumulative Bank Investment'.</t>
        </is>
      </c>
      <c r="N39" s="11">
        <f>HYPERLINK("https://www.google.com/search?q=site%3Aebrd.com%2Fhome%2Fwork-with-us%2Fprojects%2Fpsd+Regional+TFP%3A+Ameria+Bank+CJSC","Search EBRD")</f>
        <v/>
      </c>
      <c r="O39" s="12" t="n"/>
      <c r="P39" s="13" t="n"/>
      <c r="Q39" s="12" t="n"/>
      <c r="R39" s="12" t="n"/>
      <c r="S39" s="12" t="n"/>
      <c r="T39" s="14" t="n"/>
      <c r="U39" s="15" t="inlineStr">
        <is>
          <t>https://www.ebrd.com/content/dam/ebrd_dxp/assets/pdfs/publications/ebrd-investments-1991-2025.xlsx</t>
        </is>
      </c>
      <c r="V39" s="15" t="inlineStr">
        <is>
          <t>2010-05-15</t>
        </is>
      </c>
      <c r="W39" s="15" t="inlineStr">
        <is>
          <t>Regional TFP: Ameria Bank CJSC</t>
        </is>
      </c>
    </row>
    <row r="40">
      <c r="A40" s="8" t="n">
        <v>39</v>
      </c>
      <c r="B40" s="8" t="inlineStr">
        <is>
          <t>AR-039</t>
        </is>
      </c>
      <c r="C40" s="8" t="inlineStr">
        <is>
          <t>A</t>
        </is>
      </c>
      <c r="D40" s="8" t="inlineStr">
        <is>
          <t>trade-finance line</t>
        </is>
      </c>
      <c r="E40" s="8" t="inlineStr">
        <is>
          <t>EBRD</t>
        </is>
      </c>
      <c r="F40" s="8" t="inlineStr">
        <is>
          <t>Regional TFP : Bank al Etihad</t>
        </is>
      </c>
      <c r="G40" s="8" t="inlineStr">
        <is>
          <t>Jordan</t>
        </is>
      </c>
      <c r="H40" s="8" t="n">
        <v>2014</v>
      </c>
      <c r="I40" s="9" t="n">
        <v>394390714.54</v>
      </c>
      <c r="J40" s="8" t="inlineStr">
        <is>
          <t>EUR</t>
        </is>
      </c>
      <c r="K40" s="10" t="n">
        <v>523.9484586571045</v>
      </c>
      <c r="L40" s="8" t="n">
        <v>30</v>
      </c>
      <c r="M40" s="8" t="inlineStr">
        <is>
          <t>Trade lines revolve: check whether the figure is a LIMIT (one commitment) or a running total of trade covered over the years. Our figure is EBRD's 'Net Cumulative Bank Investment'.</t>
        </is>
      </c>
      <c r="N40" s="11">
        <f>HYPERLINK("https://www.google.com/search?q=site%3Aebrd.com%2Fhome%2Fwork-with-us%2Fprojects%2Fpsd+Regional+TFP+%3A+Bank+al+Etihad","Search EBRD")</f>
        <v/>
      </c>
      <c r="O40" s="12" t="n"/>
      <c r="P40" s="13" t="n"/>
      <c r="Q40" s="12" t="n"/>
      <c r="R40" s="12" t="n"/>
      <c r="S40" s="12" t="n"/>
      <c r="T40" s="14" t="n"/>
      <c r="U40" s="15" t="inlineStr">
        <is>
          <t>https://www.ebrd.com/content/dam/ebrd_dxp/assets/pdfs/publications/ebrd-investments-1991-2025.xlsx</t>
        </is>
      </c>
      <c r="V40" s="15" t="inlineStr">
        <is>
          <t>2014-12-18</t>
        </is>
      </c>
      <c r="W40" s="15" t="inlineStr">
        <is>
          <t>Regional TFP : Bank al Etihad</t>
        </is>
      </c>
    </row>
    <row r="41">
      <c r="A41" s="8" t="n">
        <v>40</v>
      </c>
      <c r="B41" s="8" t="inlineStr">
        <is>
          <t>AR-040</t>
        </is>
      </c>
      <c r="C41" s="8" t="inlineStr">
        <is>
          <t>A</t>
        </is>
      </c>
      <c r="D41" s="8" t="inlineStr">
        <is>
          <t>trade-finance line</t>
        </is>
      </c>
      <c r="E41" s="8" t="inlineStr">
        <is>
          <t>EBRD</t>
        </is>
      </c>
      <c r="F41" s="8" t="inlineStr">
        <is>
          <t>Regional TFP:Commercial International Bk</t>
        </is>
      </c>
      <c r="G41" s="8" t="inlineStr">
        <is>
          <t>Egypt</t>
        </is>
      </c>
      <c r="H41" s="8" t="n">
        <v>2014</v>
      </c>
      <c r="I41" s="9" t="n">
        <v>379734221.35</v>
      </c>
      <c r="J41" s="8" t="inlineStr">
        <is>
          <t>EUR</t>
        </is>
      </c>
      <c r="K41" s="10" t="n">
        <v>504.4772927976964</v>
      </c>
      <c r="L41" s="8" t="n">
        <v>32</v>
      </c>
      <c r="M41" s="8" t="inlineStr">
        <is>
          <t>Trade lines revolve: check whether the figure is a LIMIT (one commitment) or a running total of trade covered over the years. Our figure is EBRD's 'Net Cumulative Bank Investment'.</t>
        </is>
      </c>
      <c r="N41" s="11">
        <f>HYPERLINK("https://www.google.com/search?q=site%3Aebrd.com%2Fhome%2Fwork-with-us%2Fprojects%2Fpsd+Regional+TFP%3ACommercial+International+Bk","Search EBRD")</f>
        <v/>
      </c>
      <c r="O41" s="12" t="n"/>
      <c r="P41" s="13" t="n"/>
      <c r="Q41" s="12" t="n"/>
      <c r="R41" s="12" t="n"/>
      <c r="S41" s="12" t="n"/>
      <c r="T41" s="14" t="n"/>
      <c r="U41" s="15" t="inlineStr">
        <is>
          <t>https://www.ebrd.com/content/dam/ebrd_dxp/assets/pdfs/publications/ebrd-investments-1991-2025.xlsx</t>
        </is>
      </c>
      <c r="V41" s="15" t="inlineStr">
        <is>
          <t>2014-12-11</t>
        </is>
      </c>
      <c r="W41" s="15" t="inlineStr">
        <is>
          <t>Regional TFP:Commercial International Bk</t>
        </is>
      </c>
    </row>
    <row r="42">
      <c r="A42" s="8" t="n">
        <v>41</v>
      </c>
      <c r="B42" s="8" t="inlineStr">
        <is>
          <t>AR-041</t>
        </is>
      </c>
      <c r="C42" s="8" t="inlineStr">
        <is>
          <t>A</t>
        </is>
      </c>
      <c r="D42" s="8" t="inlineStr">
        <is>
          <t>trade-finance line</t>
        </is>
      </c>
      <c r="E42" s="8" t="inlineStr">
        <is>
          <t>IFC</t>
        </is>
      </c>
      <c r="F42" s="8" t="inlineStr">
        <is>
          <t>GTLP SMBC LAC</t>
        </is>
      </c>
      <c r="G42" s="8" t="inlineStr">
        <is>
          <t>Regional — Latin America &amp; Caribbean</t>
        </is>
      </c>
      <c r="H42" s="8" t="n">
        <v>2026</v>
      </c>
      <c r="I42" s="9" t="n">
        <v>502500000</v>
      </c>
      <c r="J42" s="8" t="inlineStr">
        <is>
          <t>USD</t>
        </is>
      </c>
      <c r="K42" s="10" t="n">
        <v>502.5</v>
      </c>
      <c r="L42" s="8" t="n">
        <v>11</v>
      </c>
      <c r="M42" s="8" t="inlineStr">
        <is>
          <t>Trade lines revolve: check whether the figure is a LIMIT (one commitment) or a running total of trade covered over the years.</t>
        </is>
      </c>
      <c r="N42" s="11">
        <f>HYPERLINK("https://disclosures.ifc.org/project-detail/SII/51524/gtlp-smbc-lac","Open page")</f>
        <v/>
      </c>
      <c r="O42" s="12" t="n"/>
      <c r="P42" s="13" t="n"/>
      <c r="Q42" s="12" t="n"/>
      <c r="R42" s="12" t="n"/>
      <c r="S42" s="12" t="n"/>
      <c r="T42" s="14" t="n"/>
      <c r="U42" s="15" t="inlineStr">
        <is>
          <t>https://disclosures.ifc.org/project-detail/SII/51524/gtlp-smbc-lac</t>
        </is>
      </c>
      <c r="V42" s="15" t="inlineStr">
        <is>
          <t>2026-03-31</t>
        </is>
      </c>
      <c r="W42" s="15" t="inlineStr">
        <is>
          <t>GTLP SMBC LAC</t>
        </is>
      </c>
    </row>
    <row r="43">
      <c r="A43" s="8" t="n">
        <v>42</v>
      </c>
      <c r="B43" s="8" t="inlineStr">
        <is>
          <t>AR-042</t>
        </is>
      </c>
      <c r="C43" s="8" t="inlineStr">
        <is>
          <t>A</t>
        </is>
      </c>
      <c r="D43" s="8" t="inlineStr">
        <is>
          <t>trade-finance line</t>
        </is>
      </c>
      <c r="E43" s="8" t="inlineStr">
        <is>
          <t>IDB Invest</t>
        </is>
      </c>
      <c r="F43" s="8" t="inlineStr">
        <is>
          <t>Banco Interamericano de Finanzas - TFFP</t>
        </is>
      </c>
      <c r="G43" s="8" t="inlineStr">
        <is>
          <t>Peru</t>
        </is>
      </c>
      <c r="H43" s="8" t="n">
        <v>2007</v>
      </c>
      <c r="I43" s="9" t="n">
        <v>500500000</v>
      </c>
      <c r="J43" s="8" t="inlineStr">
        <is>
          <t>USD</t>
        </is>
      </c>
      <c r="K43" s="10" t="n">
        <v>500.5</v>
      </c>
      <c r="L43" s="8" t="n">
        <v>5</v>
      </c>
      <c r="M43" s="8" t="inlineStr">
        <is>
          <t>Trade lines revolve: check whether the figure is a LIMIT (one commitment) or a running total of trade covered over the years.</t>
        </is>
      </c>
      <c r="N43" s="11">
        <f>HYPERLINK("https://idbinvest.org/en/projects/banco-interamericano-de-finanzas-tffp","Open page")</f>
        <v/>
      </c>
      <c r="O43" s="12" t="n"/>
      <c r="P43" s="13" t="n"/>
      <c r="Q43" s="12" t="n"/>
      <c r="R43" s="12" t="n"/>
      <c r="S43" s="12" t="n"/>
      <c r="T43" s="14" t="n"/>
      <c r="U43" s="15" t="inlineStr">
        <is>
          <t>https://idbinvest.org/en/projects/banco-interamericano-de-finanzas-tffp</t>
        </is>
      </c>
      <c r="V43" s="15" t="inlineStr">
        <is>
          <t>2007-03-14</t>
        </is>
      </c>
      <c r="W43" s="15" t="inlineStr">
        <is>
          <t>Banco Interamericano de Finanzas - TFFP</t>
        </is>
      </c>
    </row>
    <row r="44">
      <c r="A44" s="8" t="n">
        <v>43</v>
      </c>
      <c r="B44" s="8" t="inlineStr">
        <is>
          <t>AR-043</t>
        </is>
      </c>
      <c r="C44" s="8" t="inlineStr">
        <is>
          <t>A</t>
        </is>
      </c>
      <c r="D44" s="8" t="inlineStr">
        <is>
          <t>trade-finance line; IFC 'World Region' record of USD 500m or more</t>
        </is>
      </c>
      <c r="E44" s="8" t="inlineStr">
        <is>
          <t>IFC</t>
        </is>
      </c>
      <c r="F44" s="8" t="inlineStr">
        <is>
          <t>GTFP II</t>
        </is>
      </c>
      <c r="G44" s="8" t="inlineStr">
        <is>
          <t>Regional — Global</t>
        </is>
      </c>
      <c r="H44" s="8" t="n">
        <v>2007</v>
      </c>
      <c r="I44" s="9" t="n">
        <v>500000000</v>
      </c>
      <c r="J44" s="8" t="inlineStr">
        <is>
          <t>USD</t>
        </is>
      </c>
      <c r="K44" s="10" t="n">
        <v>500</v>
      </c>
      <c r="L44" s="8" t="n">
        <v>12</v>
      </c>
      <c r="M44"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44" s="11">
        <f>HYPERLINK("https://disclosures.ifc.org/project-detail/SPI/25667/gtfp-ii","Open page")</f>
        <v/>
      </c>
      <c r="O44" s="12" t="n"/>
      <c r="P44" s="13" t="n"/>
      <c r="Q44" s="12" t="n"/>
      <c r="R44" s="12" t="n"/>
      <c r="S44" s="12" t="n"/>
      <c r="T44" s="14" t="n"/>
      <c r="U44" s="15" t="inlineStr">
        <is>
          <t>https://disclosures.ifc.org/project-detail/SPI/25667/gtfp-ii</t>
        </is>
      </c>
      <c r="V44" s="15" t="inlineStr">
        <is>
          <t>2007-01-11</t>
        </is>
      </c>
      <c r="W44" s="15" t="inlineStr">
        <is>
          <t>GTFP II</t>
        </is>
      </c>
    </row>
    <row r="45">
      <c r="A45" s="8" t="n">
        <v>44</v>
      </c>
      <c r="B45" s="8" t="inlineStr">
        <is>
          <t>AR-044</t>
        </is>
      </c>
      <c r="C45" s="8" t="inlineStr">
        <is>
          <t>A</t>
        </is>
      </c>
      <c r="D45" s="8" t="inlineStr">
        <is>
          <t>trade-finance line; IFC 'World Region' record of USD 500m or more</t>
        </is>
      </c>
      <c r="E45" s="8" t="inlineStr">
        <is>
          <t>IFC</t>
        </is>
      </c>
      <c r="F45" s="8" t="inlineStr">
        <is>
          <t>GTFP III</t>
        </is>
      </c>
      <c r="G45" s="8" t="inlineStr">
        <is>
          <t>Regional — Global</t>
        </is>
      </c>
      <c r="H45" s="8" t="n">
        <v>2008</v>
      </c>
      <c r="I45" s="9" t="n">
        <v>500000000</v>
      </c>
      <c r="J45" s="8" t="inlineStr">
        <is>
          <t>USD</t>
        </is>
      </c>
      <c r="K45" s="10" t="n">
        <v>500</v>
      </c>
      <c r="L45" s="8" t="n">
        <v>13</v>
      </c>
      <c r="M45"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45" s="11">
        <f>HYPERLINK("https://disclosures.ifc.org/project-detail/SPI/27372/gtfp-iii","Open page")</f>
        <v/>
      </c>
      <c r="O45" s="12" t="n"/>
      <c r="P45" s="13" t="n"/>
      <c r="Q45" s="12" t="n"/>
      <c r="R45" s="12" t="n"/>
      <c r="S45" s="12" t="n"/>
      <c r="T45" s="14" t="n"/>
      <c r="U45" s="15" t="inlineStr">
        <is>
          <t>https://disclosures.ifc.org/project-detail/SPI/27372/gtfp-iii</t>
        </is>
      </c>
      <c r="V45" s="15" t="inlineStr">
        <is>
          <t>2008-10-02</t>
        </is>
      </c>
      <c r="W45" s="15" t="inlineStr">
        <is>
          <t>GTFP III</t>
        </is>
      </c>
    </row>
    <row r="46">
      <c r="A46" s="8" t="n">
        <v>45</v>
      </c>
      <c r="B46" s="8" t="inlineStr">
        <is>
          <t>AR-045</t>
        </is>
      </c>
      <c r="C46" s="8" t="inlineStr">
        <is>
          <t>A</t>
        </is>
      </c>
      <c r="D46" s="8" t="inlineStr">
        <is>
          <t>IFC 'World Region' record of USD 500m or more</t>
        </is>
      </c>
      <c r="E46" s="8" t="inlineStr">
        <is>
          <t>IFC</t>
        </is>
      </c>
      <c r="F46" s="8" t="inlineStr">
        <is>
          <t>DARP Global AGM</t>
        </is>
      </c>
      <c r="G46" s="8" t="inlineStr">
        <is>
          <t>Regional — Global</t>
        </is>
      </c>
      <c r="H46" s="8" t="n">
        <v>2016</v>
      </c>
      <c r="I46" s="9" t="n">
        <v>500000000</v>
      </c>
      <c r="J46" s="8" t="inlineStr">
        <is>
          <t>USD</t>
        </is>
      </c>
      <c r="K46" s="10" t="n">
        <v>500</v>
      </c>
      <c r="L46" s="8" t="n">
        <v>14</v>
      </c>
      <c r="M46"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t>
        </is>
      </c>
      <c r="N46" s="11">
        <f>HYPERLINK("https://disclosures.ifc.org/project-detail/SII/37035/darp-global-agm","Open page")</f>
        <v/>
      </c>
      <c r="O46" s="12" t="n"/>
      <c r="P46" s="13" t="n"/>
      <c r="Q46" s="12" t="n"/>
      <c r="R46" s="12" t="n"/>
      <c r="S46" s="12" t="n"/>
      <c r="T46" s="14" t="n"/>
      <c r="U46" s="15" t="inlineStr">
        <is>
          <t>https://disclosures.ifc.org/project-detail/SII/37035/darp-global-agm</t>
        </is>
      </c>
      <c r="V46" s="15" t="inlineStr">
        <is>
          <t>2016-06-09</t>
        </is>
      </c>
      <c r="W46" s="15" t="inlineStr">
        <is>
          <t>DARP Global AGM</t>
        </is>
      </c>
    </row>
    <row r="47">
      <c r="A47" s="8" t="n">
        <v>46</v>
      </c>
      <c r="B47" s="8" t="inlineStr">
        <is>
          <t>AR-046</t>
        </is>
      </c>
      <c r="C47" s="8" t="inlineStr">
        <is>
          <t>A</t>
        </is>
      </c>
      <c r="D47" s="8" t="inlineStr">
        <is>
          <t>trade-finance line; IFC 'World Region' record of USD 500m or more</t>
        </is>
      </c>
      <c r="E47" s="8" t="inlineStr">
        <is>
          <t>IFC</t>
        </is>
      </c>
      <c r="F47" s="8" t="inlineStr">
        <is>
          <t>GTLP-SMBC</t>
        </is>
      </c>
      <c r="G47" s="8" t="inlineStr">
        <is>
          <t>Regional — Global</t>
        </is>
      </c>
      <c r="H47" s="8" t="n">
        <v>2016</v>
      </c>
      <c r="I47" s="9" t="n">
        <v>500000000</v>
      </c>
      <c r="J47" s="8" t="inlineStr">
        <is>
          <t>USD</t>
        </is>
      </c>
      <c r="K47" s="10" t="n">
        <v>500</v>
      </c>
      <c r="L47" s="8" t="n">
        <v>15</v>
      </c>
      <c r="M47"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47" s="11">
        <f>HYPERLINK("https://disclosures.ifc.org/project-detail/SII/37978/gtlp-smbc","Open page")</f>
        <v/>
      </c>
      <c r="O47" s="12" t="n"/>
      <c r="P47" s="13" t="n"/>
      <c r="Q47" s="12" t="n"/>
      <c r="R47" s="12" t="n"/>
      <c r="S47" s="12" t="n"/>
      <c r="T47" s="14" t="n"/>
      <c r="U47" s="15" t="inlineStr">
        <is>
          <t>https://disclosures.ifc.org/project-detail/SII/37978/gtlp-smbc</t>
        </is>
      </c>
      <c r="V47" s="15" t="inlineStr">
        <is>
          <t>2016-03-22</t>
        </is>
      </c>
      <c r="W47" s="15" t="inlineStr">
        <is>
          <t>GTLP-SMBC</t>
        </is>
      </c>
    </row>
    <row r="48">
      <c r="A48" s="8" t="n">
        <v>47</v>
      </c>
      <c r="B48" s="8" t="inlineStr">
        <is>
          <t>AR-047</t>
        </is>
      </c>
      <c r="C48" s="8" t="inlineStr">
        <is>
          <t>A</t>
        </is>
      </c>
      <c r="D48" s="8" t="inlineStr">
        <is>
          <t>trade-finance line; IFC 'World Region' record of USD 500m or more</t>
        </is>
      </c>
      <c r="E48" s="8" t="inlineStr">
        <is>
          <t>IFC</t>
        </is>
      </c>
      <c r="F48" s="8" t="inlineStr">
        <is>
          <t>GTLP SCB III</t>
        </is>
      </c>
      <c r="G48" s="8" t="inlineStr">
        <is>
          <t>Regional — Global</t>
        </is>
      </c>
      <c r="H48" s="8" t="n">
        <v>2016</v>
      </c>
      <c r="I48" s="9" t="n">
        <v>500000000</v>
      </c>
      <c r="J48" s="8" t="inlineStr">
        <is>
          <t>USD</t>
        </is>
      </c>
      <c r="K48" s="10" t="n">
        <v>500</v>
      </c>
      <c r="L48" s="8" t="n">
        <v>16</v>
      </c>
      <c r="M48"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48" s="11">
        <f>HYPERLINK("https://disclosures.ifc.org/project-detail/SII/38705/gtlp-scb-iii","Open page")</f>
        <v/>
      </c>
      <c r="O48" s="12" t="n"/>
      <c r="P48" s="13" t="n"/>
      <c r="Q48" s="12" t="n"/>
      <c r="R48" s="12" t="n"/>
      <c r="S48" s="12" t="n"/>
      <c r="T48" s="14" t="n"/>
      <c r="U48" s="15" t="inlineStr">
        <is>
          <t>https://disclosures.ifc.org/project-detail/SII/38705/gtlp-scb-iii</t>
        </is>
      </c>
      <c r="V48" s="15" t="inlineStr">
        <is>
          <t>2016-11-15</t>
        </is>
      </c>
      <c r="W48" s="15" t="inlineStr">
        <is>
          <t>GTLP SCB III</t>
        </is>
      </c>
    </row>
    <row r="49">
      <c r="A49" s="8" t="n">
        <v>48</v>
      </c>
      <c r="B49" s="8" t="inlineStr">
        <is>
          <t>AR-048</t>
        </is>
      </c>
      <c r="C49" s="8" t="inlineStr">
        <is>
          <t>A</t>
        </is>
      </c>
      <c r="D49" s="8" t="inlineStr">
        <is>
          <t>trade-finance line; IFC 'World Region' record of USD 500m or more</t>
        </is>
      </c>
      <c r="E49" s="8" t="inlineStr">
        <is>
          <t>IFC</t>
        </is>
      </c>
      <c r="F49" s="8" t="inlineStr">
        <is>
          <t>Standard Chartered Bank Trade Finance Risk Sharing Facility</t>
        </is>
      </c>
      <c r="G49" s="8" t="inlineStr">
        <is>
          <t>Regional — Global</t>
        </is>
      </c>
      <c r="H49" s="8" t="n">
        <v>2018</v>
      </c>
      <c r="I49" s="9" t="n">
        <v>500000000</v>
      </c>
      <c r="J49" s="8" t="inlineStr">
        <is>
          <t>USD</t>
        </is>
      </c>
      <c r="K49" s="10" t="n">
        <v>500</v>
      </c>
      <c r="L49" s="8" t="n">
        <v>17</v>
      </c>
      <c r="M49"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49" s="11">
        <f>HYPERLINK("https://disclosures.ifc.org/project-detail/SII/40541/standard-chartered-bank-trade-finance-risk-sharing-facility","Open page")</f>
        <v/>
      </c>
      <c r="O49" s="12" t="n"/>
      <c r="P49" s="13" t="n"/>
      <c r="Q49" s="12" t="n"/>
      <c r="R49" s="12" t="n"/>
      <c r="S49" s="12" t="n"/>
      <c r="T49" s="14" t="n"/>
      <c r="U49" s="15" t="inlineStr">
        <is>
          <t>https://disclosures.ifc.org/project-detail/SII/40541/standard-chartered-bank-trade-finance-risk-sharing-facility</t>
        </is>
      </c>
      <c r="V49" s="15" t="inlineStr">
        <is>
          <t>2018-10-30</t>
        </is>
      </c>
      <c r="W49" s="15" t="inlineStr">
        <is>
          <t>Standard Chartered Bank Trade Finance Risk Sharing Facility</t>
        </is>
      </c>
    </row>
    <row r="50">
      <c r="A50" s="8" t="n">
        <v>49</v>
      </c>
      <c r="B50" s="8" t="inlineStr">
        <is>
          <t>AR-049</t>
        </is>
      </c>
      <c r="C50" s="8" t="inlineStr">
        <is>
          <t>A</t>
        </is>
      </c>
      <c r="D50" s="8" t="inlineStr">
        <is>
          <t>trade-finance line; IFC 'World Region' record of USD 500m or more</t>
        </is>
      </c>
      <c r="E50" s="8" t="inlineStr">
        <is>
          <t>IFC</t>
        </is>
      </c>
      <c r="F50" s="8" t="inlineStr">
        <is>
          <t>GTLP SMBC II</t>
        </is>
      </c>
      <c r="G50" s="8" t="inlineStr">
        <is>
          <t>Regional — Global</t>
        </is>
      </c>
      <c r="H50" s="8" t="n">
        <v>2019</v>
      </c>
      <c r="I50" s="9" t="n">
        <v>500000000</v>
      </c>
      <c r="J50" s="8" t="inlineStr">
        <is>
          <t>USD</t>
        </is>
      </c>
      <c r="K50" s="10" t="n">
        <v>500</v>
      </c>
      <c r="L50" s="8" t="n">
        <v>18</v>
      </c>
      <c r="M50"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50" s="11">
        <f>HYPERLINK("https://disclosures.ifc.org/project-detail/SII/42104/gtlp-smbc-ii","Open page")</f>
        <v/>
      </c>
      <c r="O50" s="12" t="n"/>
      <c r="P50" s="13" t="n"/>
      <c r="Q50" s="12" t="n"/>
      <c r="R50" s="12" t="n"/>
      <c r="S50" s="12" t="n"/>
      <c r="T50" s="14" t="n"/>
      <c r="U50" s="15" t="inlineStr">
        <is>
          <t>https://disclosures.ifc.org/project-detail/SII/42104/gtlp-smbc-ii</t>
        </is>
      </c>
      <c r="V50" s="15" t="inlineStr">
        <is>
          <t>2019-05-02</t>
        </is>
      </c>
      <c r="W50" s="15" t="inlineStr">
        <is>
          <t>GTLP SMBC II</t>
        </is>
      </c>
    </row>
    <row r="51">
      <c r="A51" s="8" t="n">
        <v>50</v>
      </c>
      <c r="B51" s="8" t="inlineStr">
        <is>
          <t>AR-050</t>
        </is>
      </c>
      <c r="C51" s="8" t="inlineStr">
        <is>
          <t>A</t>
        </is>
      </c>
      <c r="D51" s="8" t="inlineStr">
        <is>
          <t>trade-finance line; IFC 'World Region' record of USD 500m or more</t>
        </is>
      </c>
      <c r="E51" s="8" t="inlineStr">
        <is>
          <t>IFC</t>
        </is>
      </c>
      <c r="F51" s="8" t="inlineStr">
        <is>
          <t xml:space="preserve">GTFP MIGA </t>
        </is>
      </c>
      <c r="G51" s="8" t="inlineStr">
        <is>
          <t>Regional — Global</t>
        </is>
      </c>
      <c r="H51" s="8" t="n">
        <v>2021</v>
      </c>
      <c r="I51" s="9" t="n">
        <v>500000000</v>
      </c>
      <c r="J51" s="8" t="inlineStr">
        <is>
          <t>USD</t>
        </is>
      </c>
      <c r="K51" s="10" t="n">
        <v>500</v>
      </c>
      <c r="L51" s="8" t="n">
        <v>19</v>
      </c>
      <c r="M51"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51" s="11">
        <f>HYPERLINK("https://disclosures.ifc.org/project-detail/SII/45617/gtfp-miga-","Open page")</f>
        <v/>
      </c>
      <c r="O51" s="12" t="n"/>
      <c r="P51" s="13" t="n"/>
      <c r="Q51" s="12" t="n"/>
      <c r="R51" s="12" t="n"/>
      <c r="S51" s="12" t="n"/>
      <c r="T51" s="14" t="n"/>
      <c r="U51" s="15" t="inlineStr">
        <is>
          <t>https://disclosures.ifc.org/project-detail/SII/45617/gtfp-miga-</t>
        </is>
      </c>
      <c r="V51" s="15" t="inlineStr">
        <is>
          <t>2021-05-27</t>
        </is>
      </c>
      <c r="W51" s="15" t="inlineStr">
        <is>
          <t xml:space="preserve">GTFP MIGA </t>
        </is>
      </c>
    </row>
    <row r="52">
      <c r="A52" s="8" t="n">
        <v>51</v>
      </c>
      <c r="B52" s="8" t="inlineStr">
        <is>
          <t>AR-051</t>
        </is>
      </c>
      <c r="C52" s="8" t="inlineStr">
        <is>
          <t>A</t>
        </is>
      </c>
      <c r="D52" s="8" t="inlineStr">
        <is>
          <t>trade-finance line; IFC 'World Region' record of USD 500m or more</t>
        </is>
      </c>
      <c r="E52" s="8" t="inlineStr">
        <is>
          <t>IFC</t>
        </is>
      </c>
      <c r="F52" s="8" t="inlineStr">
        <is>
          <t>GTLP SMBC III</t>
        </is>
      </c>
      <c r="G52" s="8" t="inlineStr">
        <is>
          <t>Regional — Global</t>
        </is>
      </c>
      <c r="H52" s="8" t="n"/>
      <c r="I52" s="9" t="n">
        <v>500000000</v>
      </c>
      <c r="J52" s="8" t="inlineStr">
        <is>
          <t>USD</t>
        </is>
      </c>
      <c r="K52" s="10" t="n">
        <v>500</v>
      </c>
      <c r="L52" s="8" t="n">
        <v>20</v>
      </c>
      <c r="M52"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52" s="11">
        <f>HYPERLINK("https://disclosures.ifc.org/project-detail/SII/46357/gtlp-smbc-iii","Open page")</f>
        <v/>
      </c>
      <c r="O52" s="12" t="n"/>
      <c r="P52" s="13" t="n"/>
      <c r="Q52" s="12" t="n"/>
      <c r="R52" s="12" t="n"/>
      <c r="S52" s="12" t="n"/>
      <c r="T52" s="14" t="n"/>
      <c r="U52" s="15" t="inlineStr">
        <is>
          <t>https://disclosures.ifc.org/project-detail/SII/46357/gtlp-smbc-iii</t>
        </is>
      </c>
      <c r="V52" s="15" t="n"/>
      <c r="W52" s="15" t="inlineStr">
        <is>
          <t>GTLP SMBC III</t>
        </is>
      </c>
    </row>
    <row r="53">
      <c r="A53" s="8" t="n">
        <v>52</v>
      </c>
      <c r="B53" s="8" t="inlineStr">
        <is>
          <t>AR-052</t>
        </is>
      </c>
      <c r="C53" s="8" t="inlineStr">
        <is>
          <t>A</t>
        </is>
      </c>
      <c r="D53" s="8" t="inlineStr">
        <is>
          <t>trade-finance line; IFC 'World Region' record of USD 500m or more</t>
        </is>
      </c>
      <c r="E53" s="8" t="inlineStr">
        <is>
          <t>IFC</t>
        </is>
      </c>
      <c r="F53" s="8" t="inlineStr">
        <is>
          <t xml:space="preserve">GTLP HSBC Asia </t>
        </is>
      </c>
      <c r="G53" s="8" t="inlineStr">
        <is>
          <t>Regional — Global</t>
        </is>
      </c>
      <c r="H53" s="8" t="n">
        <v>2024</v>
      </c>
      <c r="I53" s="9" t="n">
        <v>500000000</v>
      </c>
      <c r="J53" s="8" t="inlineStr">
        <is>
          <t>USD</t>
        </is>
      </c>
      <c r="K53" s="10" t="n">
        <v>500</v>
      </c>
      <c r="L53" s="8" t="n">
        <v>23</v>
      </c>
      <c r="M53" s="8" t="inlineStr">
        <is>
          <t>IFC's trade programmes stamp their whole envelope on partner records. Since 24 Sep 2026 the loader blanks it wherever several World Region records share one (GSCF, GTSF), but a LONE World Region record keeps its amount as the programme's own. Check whether this is the programme itself or one partner bank. Trade lines revolve: check whether the figure is a LIMIT (one commitment) or a running total of trade covered over the years.</t>
        </is>
      </c>
      <c r="N53" s="11">
        <f>HYPERLINK("https://disclosures.ifc.org/project-detail/SII/48463/gtlp-hsbc-asia-","Open page")</f>
        <v/>
      </c>
      <c r="O53" s="12" t="n"/>
      <c r="P53" s="13" t="n"/>
      <c r="Q53" s="12" t="n"/>
      <c r="R53" s="12" t="n"/>
      <c r="S53" s="12" t="n"/>
      <c r="T53" s="14" t="n"/>
      <c r="U53" s="15" t="inlineStr">
        <is>
          <t>https://disclosures.ifc.org/project-detail/SII/48463/gtlp-hsbc-asia-</t>
        </is>
      </c>
      <c r="V53" s="15" t="inlineStr">
        <is>
          <t>2024-05-16</t>
        </is>
      </c>
      <c r="W53" s="15" t="inlineStr">
        <is>
          <t xml:space="preserve">GTLP HSBC Asia </t>
        </is>
      </c>
    </row>
    <row r="54">
      <c r="A54" s="8" t="n">
        <v>53</v>
      </c>
      <c r="B54" s="8" t="inlineStr">
        <is>
          <t>AR-053</t>
        </is>
      </c>
      <c r="C54" s="8" t="inlineStr">
        <is>
          <t>A</t>
        </is>
      </c>
      <c r="D54" s="8" t="inlineStr">
        <is>
          <t>trade-finance line</t>
        </is>
      </c>
      <c r="E54" s="8" t="inlineStr">
        <is>
          <t>EBRD</t>
        </is>
      </c>
      <c r="F54" s="8" t="inlineStr">
        <is>
          <t>Regional TFP: QNB Al Ahli Bank Egypt</t>
        </is>
      </c>
      <c r="G54" s="8" t="inlineStr">
        <is>
          <t>Egypt</t>
        </is>
      </c>
      <c r="H54" s="8" t="n">
        <v>2015</v>
      </c>
      <c r="I54" s="9" t="n">
        <v>440865649.87</v>
      </c>
      <c r="J54" s="8" t="inlineStr">
        <is>
          <t>EUR</t>
        </is>
      </c>
      <c r="K54" s="10" t="n">
        <v>489.1461697842133</v>
      </c>
      <c r="L54" s="8" t="n">
        <v>34</v>
      </c>
      <c r="M54" s="8" t="inlineStr">
        <is>
          <t>Trade lines revolve: check whether the figure is a LIMIT (one commitment) or a running total of trade covered over the years. Our figure is EBRD's 'Net Cumulative Bank Investment'.</t>
        </is>
      </c>
      <c r="N54" s="11">
        <f>HYPERLINK("https://www.google.com/search?q=site%3Aebrd.com%2Fhome%2Fwork-with-us%2Fprojects%2Fpsd+Regional+TFP%3A+QNB+Al+Ahli+Bank+Egypt","Search EBRD")</f>
        <v/>
      </c>
      <c r="O54" s="12" t="n"/>
      <c r="P54" s="13" t="n"/>
      <c r="Q54" s="12" t="n"/>
      <c r="R54" s="12" t="n"/>
      <c r="S54" s="12" t="n"/>
      <c r="T54" s="14" t="n"/>
      <c r="U54" s="15" t="inlineStr">
        <is>
          <t>https://www.ebrd.com/content/dam/ebrd_dxp/assets/pdfs/publications/ebrd-investments-1991-2025.xlsx</t>
        </is>
      </c>
      <c r="V54" s="15" t="inlineStr">
        <is>
          <t>2015-07-16</t>
        </is>
      </c>
      <c r="W54" s="15" t="inlineStr">
        <is>
          <t>Regional TFP: QNB Al Ahli Bank Egypt</t>
        </is>
      </c>
    </row>
    <row r="55">
      <c r="A55" s="8" t="n">
        <v>54</v>
      </c>
      <c r="B55" s="8" t="inlineStr">
        <is>
          <t>AR-054</t>
        </is>
      </c>
      <c r="C55" s="8" t="inlineStr">
        <is>
          <t>A</t>
        </is>
      </c>
      <c r="D55" s="8" t="inlineStr">
        <is>
          <t>trade-finance line</t>
        </is>
      </c>
      <c r="E55" s="8" t="inlineStr">
        <is>
          <t>EBRD</t>
        </is>
      </c>
      <c r="F55" s="8" t="inlineStr">
        <is>
          <t>Regional TFP: Asaka bank</t>
        </is>
      </c>
      <c r="G55" s="8" t="inlineStr">
        <is>
          <t>Uzbekistan</t>
        </is>
      </c>
      <c r="H55" s="8" t="n">
        <v>2019</v>
      </c>
      <c r="I55" s="9" t="n">
        <v>436845404.08</v>
      </c>
      <c r="J55" s="8" t="inlineStr">
        <is>
          <t>EUR</t>
        </is>
      </c>
      <c r="K55" s="10" t="n">
        <v>489.037508732458</v>
      </c>
      <c r="L55" s="8" t="n">
        <v>35</v>
      </c>
      <c r="M55" s="8" t="inlineStr">
        <is>
          <t>Trade lines revolve: check whether the figure is a LIMIT (one commitment) or a running total of trade covered over the years. Our figure is EBRD's 'Net Cumulative Bank Investment'.</t>
        </is>
      </c>
      <c r="N55" s="11">
        <f>HYPERLINK("https://www.google.com/search?q=site%3Aebrd.com%2Fhome%2Fwork-with-us%2Fprojects%2Fpsd+Regional+TFP%3A+Asaka+bank","Search EBRD")</f>
        <v/>
      </c>
      <c r="O55" s="12" t="n"/>
      <c r="P55" s="13" t="n"/>
      <c r="Q55" s="12" t="n"/>
      <c r="R55" s="12" t="n"/>
      <c r="S55" s="12" t="n"/>
      <c r="T55" s="14" t="n"/>
      <c r="U55" s="15" t="inlineStr">
        <is>
          <t>https://www.ebrd.com/content/dam/ebrd_dxp/assets/pdfs/publications/ebrd-investments-1991-2025.xlsx</t>
        </is>
      </c>
      <c r="V55" s="15" t="inlineStr">
        <is>
          <t>2019-09-04</t>
        </is>
      </c>
      <c r="W55" s="15" t="inlineStr">
        <is>
          <t>Regional TFP: Asaka bank</t>
        </is>
      </c>
    </row>
    <row r="56">
      <c r="A56" s="8" t="n">
        <v>55</v>
      </c>
      <c r="B56" s="8" t="inlineStr">
        <is>
          <t>AR-055</t>
        </is>
      </c>
      <c r="C56" s="8" t="inlineStr">
        <is>
          <t>A</t>
        </is>
      </c>
      <c r="D56" s="8" t="inlineStr">
        <is>
          <t>trade-finance line</t>
        </is>
      </c>
      <c r="E56" s="8" t="inlineStr">
        <is>
          <t>EBRD</t>
        </is>
      </c>
      <c r="F56" s="8" t="inlineStr">
        <is>
          <t>Regional TFP: Locko Bank</t>
        </is>
      </c>
      <c r="G56" s="8" t="inlineStr">
        <is>
          <t>Russia</t>
        </is>
      </c>
      <c r="H56" s="8" t="n">
        <v>2005</v>
      </c>
      <c r="I56" s="9" t="n">
        <v>385839429.18</v>
      </c>
      <c r="J56" s="8" t="inlineStr">
        <is>
          <t>EUR</t>
        </is>
      </c>
      <c r="K56" s="10" t="n">
        <v>480.0189754485461</v>
      </c>
      <c r="L56" s="8" t="n">
        <v>37</v>
      </c>
      <c r="M56" s="8" t="inlineStr">
        <is>
          <t>Trade lines revolve: check whether the figure is a LIMIT (one commitment) or a running total of trade covered over the years. Our figure is EBRD's 'Net Cumulative Bank Investment'.</t>
        </is>
      </c>
      <c r="N56" s="11">
        <f>HYPERLINK("https://www.google.com/search?q=site%3Aebrd.com%2Fhome%2Fwork-with-us%2Fprojects%2Fpsd+Regional+TFP%3A+Locko+Bank","Search EBRD")</f>
        <v/>
      </c>
      <c r="O56" s="12" t="n"/>
      <c r="P56" s="13" t="n"/>
      <c r="Q56" s="12" t="n"/>
      <c r="R56" s="12" t="n"/>
      <c r="S56" s="12" t="n"/>
      <c r="T56" s="14" t="n"/>
      <c r="U56" s="15" t="inlineStr">
        <is>
          <t>https://www.ebrd.com/content/dam/ebrd_dxp/assets/pdfs/publications/ebrd-investments-1991-2025.xlsx</t>
        </is>
      </c>
      <c r="V56" s="15" t="inlineStr">
        <is>
          <t>2005-09-23</t>
        </is>
      </c>
      <c r="W56" s="15" t="inlineStr">
        <is>
          <t>Regional TFP: Locko Bank</t>
        </is>
      </c>
    </row>
    <row r="57">
      <c r="A57" s="8" t="n">
        <v>56</v>
      </c>
      <c r="B57" s="8" t="inlineStr">
        <is>
          <t>AR-056</t>
        </is>
      </c>
      <c r="C57" s="8" t="inlineStr">
        <is>
          <t>A</t>
        </is>
      </c>
      <c r="D57" s="8" t="inlineStr">
        <is>
          <t>trade-finance line</t>
        </is>
      </c>
      <c r="E57" s="8" t="inlineStr">
        <is>
          <t>EBRD</t>
        </is>
      </c>
      <c r="F57" s="8" t="inlineStr">
        <is>
          <t>Regional TFP: BCP Banque Centrale Populaire</t>
        </is>
      </c>
      <c r="G57" s="8" t="inlineStr">
        <is>
          <t>Morocco</t>
        </is>
      </c>
      <c r="H57" s="8" t="n">
        <v>2013</v>
      </c>
      <c r="I57" s="9" t="n">
        <v>360211596.36</v>
      </c>
      <c r="J57" s="8" t="inlineStr">
        <is>
          <t>EUR</t>
        </is>
      </c>
      <c r="K57" s="10" t="n">
        <v>478.4035049344504</v>
      </c>
      <c r="L57" s="8" t="n">
        <v>38</v>
      </c>
      <c r="M57" s="8" t="inlineStr">
        <is>
          <t>Trade lines revolve: check whether the figure is a LIMIT (one commitment) or a running total of trade covered over the years. Our figure is EBRD's 'Net Cumulative Bank Investment'.</t>
        </is>
      </c>
      <c r="N57" s="11">
        <f>HYPERLINK("https://www.google.com/search?q=site%3Aebrd.com%2Fhome%2Fwork-with-us%2Fprojects%2Fpsd+Regional+TFP%3A+BCP+Banque+Centrale+Populaire","Search EBRD")</f>
        <v/>
      </c>
      <c r="O57" s="12" t="n"/>
      <c r="P57" s="13" t="n"/>
      <c r="Q57" s="12" t="n"/>
      <c r="R57" s="12" t="n"/>
      <c r="S57" s="12" t="n"/>
      <c r="T57" s="14" t="n"/>
      <c r="U57" s="15" t="inlineStr">
        <is>
          <t>https://www.ebrd.com/content/dam/ebrd_dxp/assets/pdfs/publications/ebrd-investments-1991-2025.xlsx</t>
        </is>
      </c>
      <c r="V57" s="15" t="inlineStr">
        <is>
          <t>2013-06-03</t>
        </is>
      </c>
      <c r="W57" s="15" t="inlineStr">
        <is>
          <t>Regional TFP: BCP Banque Centrale Populaire</t>
        </is>
      </c>
    </row>
    <row r="58">
      <c r="A58" s="8" t="n">
        <v>57</v>
      </c>
      <c r="B58" s="8" t="inlineStr">
        <is>
          <t>AR-057</t>
        </is>
      </c>
      <c r="C58" s="8" t="inlineStr">
        <is>
          <t>A</t>
        </is>
      </c>
      <c r="D58" s="8" t="inlineStr">
        <is>
          <t>trade-finance line</t>
        </is>
      </c>
      <c r="E58" s="8" t="inlineStr">
        <is>
          <t>EBRD</t>
        </is>
      </c>
      <c r="F58" s="8" t="inlineStr">
        <is>
          <t>Regional TFP: Kazkommertsbank (Guarantee &amp; Pre-export)</t>
        </is>
      </c>
      <c r="G58" s="8" t="inlineStr">
        <is>
          <t>Kazakhstan</t>
        </is>
      </c>
      <c r="H58" s="8" t="n">
        <v>2000</v>
      </c>
      <c r="I58" s="9" t="n">
        <v>513303957.59</v>
      </c>
      <c r="J58" s="8" t="inlineStr">
        <is>
          <t>EUR</t>
        </is>
      </c>
      <c r="K58" s="10" t="n">
        <v>474.0942081815727</v>
      </c>
      <c r="L58" s="8" t="n">
        <v>39</v>
      </c>
      <c r="M58" s="8" t="inlineStr">
        <is>
          <t>Trade lines revolve: check whether the figure is a LIMIT (one commitment) or a running total of trade covered over the years. Our figure is EBRD's 'Net Cumulative Bank Investment'.</t>
        </is>
      </c>
      <c r="N58" s="11">
        <f>HYPERLINK("https://www.google.com/search?q=site%3Aebrd.com%2Fhome%2Fwork-with-us%2Fprojects%2Fpsd+Regional+TFP%3A+Kazkommertsbank+%28Guarantee+%26+Pre-export%29","Search EBRD")</f>
        <v/>
      </c>
      <c r="O58" s="12" t="n"/>
      <c r="P58" s="13" t="n"/>
      <c r="Q58" s="12" t="n"/>
      <c r="R58" s="12" t="n"/>
      <c r="S58" s="12" t="n"/>
      <c r="T58" s="14" t="n"/>
      <c r="U58" s="15" t="inlineStr">
        <is>
          <t>https://www.ebrd.com/content/dam/ebrd_dxp/assets/pdfs/publications/ebrd-investments-1991-2025.xlsx</t>
        </is>
      </c>
      <c r="V58" s="15" t="inlineStr">
        <is>
          <t>2000-09-21</t>
        </is>
      </c>
      <c r="W58" s="15" t="inlineStr">
        <is>
          <t>Regional TFP: Kazkommertsbank (Guarantee &amp; Pre-export)</t>
        </is>
      </c>
    </row>
    <row r="59">
      <c r="A59" s="8" t="n">
        <v>58</v>
      </c>
      <c r="B59" s="8" t="inlineStr">
        <is>
          <t>AR-058</t>
        </is>
      </c>
      <c r="C59" s="8" t="inlineStr">
        <is>
          <t>A</t>
        </is>
      </c>
      <c r="D59" s="8" t="inlineStr">
        <is>
          <t>trade-finance line</t>
        </is>
      </c>
      <c r="E59" s="8" t="inlineStr">
        <is>
          <t>EBRD</t>
        </is>
      </c>
      <c r="F59" s="8" t="inlineStr">
        <is>
          <t>Regional TFP: Priorbank Guarantees and Pre-Export</t>
        </is>
      </c>
      <c r="G59" s="8" t="inlineStr">
        <is>
          <t>Belarus</t>
        </is>
      </c>
      <c r="H59" s="8" t="n">
        <v>2000</v>
      </c>
      <c r="I59" s="9" t="n">
        <v>512193152.88</v>
      </c>
      <c r="J59" s="8" t="inlineStr">
        <is>
          <t>EUR</t>
        </is>
      </c>
      <c r="K59" s="10" t="n">
        <v>473.0682545109555</v>
      </c>
      <c r="L59" s="8" t="n">
        <v>40</v>
      </c>
      <c r="M59" s="8" t="inlineStr">
        <is>
          <t>Trade lines revolve: check whether the figure is a LIMIT (one commitment) or a running total of trade covered over the years. Our figure is EBRD's 'Net Cumulative Bank Investment'.</t>
        </is>
      </c>
      <c r="N59" s="11">
        <f>HYPERLINK("https://www.google.com/search?q=site%3Aebrd.com%2Fhome%2Fwork-with-us%2Fprojects%2Fpsd+Regional+TFP%3A+Priorbank+Guarantees+and+Pre-Export","Search EBRD")</f>
        <v/>
      </c>
      <c r="O59" s="12" t="n"/>
      <c r="P59" s="13" t="n"/>
      <c r="Q59" s="12" t="n"/>
      <c r="R59" s="12" t="n"/>
      <c r="S59" s="12" t="n"/>
      <c r="T59" s="14" t="n"/>
      <c r="U59" s="15" t="inlineStr">
        <is>
          <t>https://www.ebrd.com/content/dam/ebrd_dxp/assets/pdfs/publications/ebrd-investments-1991-2025.xlsx</t>
        </is>
      </c>
      <c r="V59" s="15" t="inlineStr">
        <is>
          <t>2000-01-14</t>
        </is>
      </c>
      <c r="W59" s="15" t="inlineStr">
        <is>
          <t>Regional TFP: Priorbank Guarantees and Pre-Export</t>
        </is>
      </c>
    </row>
    <row r="60">
      <c r="A60" s="8" t="n">
        <v>59</v>
      </c>
      <c r="B60" s="8" t="inlineStr">
        <is>
          <t>AR-059</t>
        </is>
      </c>
      <c r="C60" s="8" t="inlineStr">
        <is>
          <t>A</t>
        </is>
      </c>
      <c r="D60" s="8" t="inlineStr">
        <is>
          <t>trade-finance line</t>
        </is>
      </c>
      <c r="E60" s="8" t="inlineStr">
        <is>
          <t>EBRD</t>
        </is>
      </c>
      <c r="F60" s="8" t="inlineStr">
        <is>
          <t>Regional TFP: Eurobank Ergasias S.A.</t>
        </is>
      </c>
      <c r="G60" s="8" t="inlineStr">
        <is>
          <t>Greece</t>
        </is>
      </c>
      <c r="H60" s="8" t="n">
        <v>2016</v>
      </c>
      <c r="I60" s="9" t="n">
        <v>411180177.73</v>
      </c>
      <c r="J60" s="8" t="inlineStr">
        <is>
          <t>EUR</t>
        </is>
      </c>
      <c r="K60" s="10" t="n">
        <v>455.1365722698702</v>
      </c>
      <c r="L60" s="8" t="n">
        <v>41</v>
      </c>
      <c r="M60" s="8" t="inlineStr">
        <is>
          <t>Trade lines revolve: check whether the figure is a LIMIT (one commitment) or a running total of trade covered over the years. Our figure is EBRD's 'Net Cumulative Bank Investment'.</t>
        </is>
      </c>
      <c r="N60" s="11">
        <f>HYPERLINK("https://www.google.com/search?q=site%3Aebrd.com%2Fhome%2Fwork-with-us%2Fprojects%2Fpsd+Regional+TFP%3A+Eurobank+Ergasias+S.A.","Search EBRD")</f>
        <v/>
      </c>
      <c r="O60" s="12" t="n"/>
      <c r="P60" s="13" t="n"/>
      <c r="Q60" s="12" t="n"/>
      <c r="R60" s="12" t="n"/>
      <c r="S60" s="12" t="n"/>
      <c r="T60" s="14" t="n"/>
      <c r="U60" s="15" t="inlineStr">
        <is>
          <t>https://www.ebrd.com/content/dam/ebrd_dxp/assets/pdfs/publications/ebrd-investments-1991-2025.xlsx</t>
        </is>
      </c>
      <c r="V60" s="15" t="inlineStr">
        <is>
          <t>2016-07-22</t>
        </is>
      </c>
      <c r="W60" s="15" t="inlineStr">
        <is>
          <t>Regional TFP: Eurobank Ergasias S.A.</t>
        </is>
      </c>
    </row>
    <row r="61">
      <c r="A61" s="8" t="n">
        <v>60</v>
      </c>
      <c r="B61" s="8" t="inlineStr">
        <is>
          <t>AR-060</t>
        </is>
      </c>
      <c r="C61" s="8" t="inlineStr">
        <is>
          <t>A</t>
        </is>
      </c>
      <c r="D61" s="8" t="inlineStr">
        <is>
          <t>trade-finance line</t>
        </is>
      </c>
      <c r="E61" s="8" t="inlineStr">
        <is>
          <t>EBRD</t>
        </is>
      </c>
      <c r="F61" s="8" t="inlineStr">
        <is>
          <t>Regional TFP: Komercijalna Banka</t>
        </is>
      </c>
      <c r="G61" s="8" t="inlineStr">
        <is>
          <t>North Macedonia</t>
        </is>
      </c>
      <c r="H61" s="8" t="n">
        <v>1999</v>
      </c>
      <c r="I61" s="9" t="n">
        <v>408092135.73</v>
      </c>
      <c r="J61" s="8" t="inlineStr">
        <is>
          <t>EUR</t>
        </is>
      </c>
      <c r="K61" s="10" t="n">
        <v>434.9348040497765</v>
      </c>
      <c r="L61" s="8" t="n">
        <v>42</v>
      </c>
      <c r="M61" s="8" t="inlineStr">
        <is>
          <t>Trade lines revolve: check whether the figure is a LIMIT (one commitment) or a running total of trade covered over the years. Our figure is EBRD's 'Net Cumulative Bank Investment'.</t>
        </is>
      </c>
      <c r="N61" s="11">
        <f>HYPERLINK("https://www.google.com/search?q=site%3Aebrd.com%2Fhome%2Fwork-with-us%2Fprojects%2Fpsd+Regional+TFP%3A+Komercijalna+Banka","Search EBRD")</f>
        <v/>
      </c>
      <c r="O61" s="12" t="n"/>
      <c r="P61" s="13" t="n"/>
      <c r="Q61" s="12" t="n"/>
      <c r="R61" s="12" t="n"/>
      <c r="S61" s="12" t="n"/>
      <c r="T61" s="14" t="n"/>
      <c r="U61" s="15" t="inlineStr">
        <is>
          <t>https://www.ebrd.com/content/dam/ebrd_dxp/assets/pdfs/publications/ebrd-investments-1991-2025.xlsx</t>
        </is>
      </c>
      <c r="V61" s="15" t="inlineStr">
        <is>
          <t>1999-06-22</t>
        </is>
      </c>
      <c r="W61" s="15" t="inlineStr">
        <is>
          <t>Regional TFP: Komercijalna Banka</t>
        </is>
      </c>
    </row>
    <row r="62">
      <c r="A62" s="8" t="n">
        <v>61</v>
      </c>
      <c r="B62" s="8" t="inlineStr">
        <is>
          <t>AR-061</t>
        </is>
      </c>
      <c r="C62" s="8" t="inlineStr">
        <is>
          <t>A</t>
        </is>
      </c>
      <c r="D62" s="8" t="inlineStr">
        <is>
          <t>trade-finance line</t>
        </is>
      </c>
      <c r="E62" s="8" t="inlineStr">
        <is>
          <t>EBRD</t>
        </is>
      </c>
      <c r="F62" s="8" t="inlineStr">
        <is>
          <t>Regional TFP: UBCI</t>
        </is>
      </c>
      <c r="G62" s="8" t="inlineStr">
        <is>
          <t>Tunisia</t>
        </is>
      </c>
      <c r="H62" s="8" t="n">
        <v>2018</v>
      </c>
      <c r="I62" s="9" t="n">
        <v>361859116.07</v>
      </c>
      <c r="J62" s="8" t="inlineStr">
        <is>
          <t>EUR</t>
        </is>
      </c>
      <c r="K62" s="10" t="n">
        <v>427.3393324184468</v>
      </c>
      <c r="L62" s="8" t="n">
        <v>43</v>
      </c>
      <c r="M62" s="8" t="inlineStr">
        <is>
          <t>Trade lines revolve: check whether the figure is a LIMIT (one commitment) or a running total of trade covered over the years. Our figure is EBRD's 'Net Cumulative Bank Investment'.</t>
        </is>
      </c>
      <c r="N62" s="11">
        <f>HYPERLINK("https://www.google.com/search?q=site%3Aebrd.com%2Fhome%2Fwork-with-us%2Fprojects%2Fpsd+Regional+TFP%3A+UBCI","Search EBRD")</f>
        <v/>
      </c>
      <c r="O62" s="12" t="n"/>
      <c r="P62" s="13" t="n"/>
      <c r="Q62" s="12" t="n"/>
      <c r="R62" s="12" t="n"/>
      <c r="S62" s="12" t="n"/>
      <c r="T62" s="14" t="n"/>
      <c r="U62" s="15" t="inlineStr">
        <is>
          <t>https://www.ebrd.com/content/dam/ebrd_dxp/assets/pdfs/publications/ebrd-investments-1991-2025.xlsx</t>
        </is>
      </c>
      <c r="V62" s="15" t="inlineStr">
        <is>
          <t>2018-02-19</t>
        </is>
      </c>
      <c r="W62" s="15" t="inlineStr">
        <is>
          <t>Regional TFP: UBCI</t>
        </is>
      </c>
    </row>
    <row r="63">
      <c r="A63" s="8" t="n">
        <v>62</v>
      </c>
      <c r="B63" s="8" t="inlineStr">
        <is>
          <t>AR-062</t>
        </is>
      </c>
      <c r="C63" s="8" t="inlineStr">
        <is>
          <t>A</t>
        </is>
      </c>
      <c r="D63" s="8" t="inlineStr">
        <is>
          <t>trade-finance line</t>
        </is>
      </c>
      <c r="E63" s="8" t="inlineStr">
        <is>
          <t>EBRD</t>
        </is>
      </c>
      <c r="F63" s="8" t="inlineStr">
        <is>
          <t>Regional TFP: Denizbank</t>
        </is>
      </c>
      <c r="G63" s="8" t="inlineStr">
        <is>
          <t>Türkiye</t>
        </is>
      </c>
      <c r="H63" s="8" t="n">
        <v>2020</v>
      </c>
      <c r="I63" s="9" t="n">
        <v>362527588.15</v>
      </c>
      <c r="J63" s="8" t="inlineStr">
        <is>
          <t>EUR</t>
        </is>
      </c>
      <c r="K63" s="10" t="n">
        <v>414.0775610745774</v>
      </c>
      <c r="L63" s="8" t="n">
        <v>44</v>
      </c>
      <c r="M63" s="8" t="inlineStr">
        <is>
          <t>Trade lines revolve: check whether the figure is a LIMIT (one commitment) or a running total of trade covered over the years. Our figure is EBRD's 'Net Cumulative Bank Investment'.</t>
        </is>
      </c>
      <c r="N63" s="11">
        <f>HYPERLINK("https://www.google.com/search?q=site%3Aebrd.com%2Fhome%2Fwork-with-us%2Fprojects%2Fpsd+Regional+TFP%3A+Denizbank","Search EBRD")</f>
        <v/>
      </c>
      <c r="O63" s="12" t="n"/>
      <c r="P63" s="13" t="n"/>
      <c r="Q63" s="12" t="n"/>
      <c r="R63" s="12" t="n"/>
      <c r="S63" s="12" t="n"/>
      <c r="T63" s="14" t="n"/>
      <c r="U63" s="15" t="inlineStr">
        <is>
          <t>https://www.ebrd.com/content/dam/ebrd_dxp/assets/pdfs/publications/ebrd-investments-1991-2025.xlsx</t>
        </is>
      </c>
      <c r="V63" s="15" t="inlineStr">
        <is>
          <t>2020-08-12</t>
        </is>
      </c>
      <c r="W63" s="15" t="inlineStr">
        <is>
          <t>Regional TFP: Denizbank</t>
        </is>
      </c>
    </row>
    <row r="64">
      <c r="A64" s="8" t="n">
        <v>63</v>
      </c>
      <c r="B64" s="8" t="inlineStr">
        <is>
          <t>AR-063</t>
        </is>
      </c>
      <c r="C64" s="8" t="inlineStr">
        <is>
          <t>A</t>
        </is>
      </c>
      <c r="D64" s="8" t="inlineStr">
        <is>
          <t>trade-finance line</t>
        </is>
      </c>
      <c r="E64" s="8" t="inlineStr">
        <is>
          <t>IFC</t>
        </is>
      </c>
      <c r="F64" s="8" t="inlineStr">
        <is>
          <t>GTLP CITI V Increment</t>
        </is>
      </c>
      <c r="G64" s="8" t="inlineStr">
        <is>
          <t>Regional — Global</t>
        </is>
      </c>
      <c r="H64" s="8" t="n"/>
      <c r="I64" s="9" t="n">
        <v>400000000</v>
      </c>
      <c r="J64" s="8" t="inlineStr">
        <is>
          <t>USD</t>
        </is>
      </c>
      <c r="K64" s="10" t="n">
        <v>400</v>
      </c>
      <c r="L64" s="8" t="n">
        <v>35</v>
      </c>
      <c r="M64" s="8" t="inlineStr">
        <is>
          <t>Trade lines revolve: check whether the figure is a LIMIT (one commitment) or a running total of trade covered over the years.</t>
        </is>
      </c>
      <c r="N64" s="11">
        <f>HYPERLINK("https://disclosures.ifc.org/project-detail/SII/47185/gtlp-citi-v-increment","Open page")</f>
        <v/>
      </c>
      <c r="O64" s="12" t="n"/>
      <c r="P64" s="13" t="n"/>
      <c r="Q64" s="12" t="n"/>
      <c r="R64" s="12" t="n"/>
      <c r="S64" s="12" t="n"/>
      <c r="T64" s="14" t="n"/>
      <c r="U64" s="15" t="inlineStr">
        <is>
          <t>https://disclosures.ifc.org/project-detail/SII/47185/gtlp-citi-v-increment</t>
        </is>
      </c>
      <c r="V64" s="15" t="n"/>
      <c r="W64" s="15" t="inlineStr">
        <is>
          <t>GTLP CITI V Increment</t>
        </is>
      </c>
    </row>
    <row r="65">
      <c r="A65" s="8" t="n">
        <v>64</v>
      </c>
      <c r="B65" s="8" t="inlineStr">
        <is>
          <t>AR-064</t>
        </is>
      </c>
      <c r="C65" s="8" t="inlineStr">
        <is>
          <t>A</t>
        </is>
      </c>
      <c r="D65" s="8" t="inlineStr">
        <is>
          <t>trade-finance line</t>
        </is>
      </c>
      <c r="E65" s="8" t="inlineStr">
        <is>
          <t>IFC</t>
        </is>
      </c>
      <c r="F65" s="8" t="inlineStr">
        <is>
          <t>IDA PSW GTFP LE</t>
        </is>
      </c>
      <c r="G65" s="8" t="inlineStr">
        <is>
          <t>Regional — Global</t>
        </is>
      </c>
      <c r="H65" s="8" t="n">
        <v>2023</v>
      </c>
      <c r="I65" s="9" t="n">
        <v>400000000</v>
      </c>
      <c r="J65" s="8" t="inlineStr">
        <is>
          <t>USD</t>
        </is>
      </c>
      <c r="K65" s="10" t="n">
        <v>400</v>
      </c>
      <c r="L65" s="8" t="n">
        <v>39</v>
      </c>
      <c r="M65" s="8" t="inlineStr">
        <is>
          <t>Trade lines revolve: check whether the figure is a LIMIT (one commitment) or a running total of trade covered over the years.</t>
        </is>
      </c>
      <c r="N65" s="11">
        <f>HYPERLINK("https://disclosures.ifc.org/project-detail/SII/48217/ida-psw-gtfp-le","Open page")</f>
        <v/>
      </c>
      <c r="O65" s="12" t="n"/>
      <c r="P65" s="13" t="n"/>
      <c r="Q65" s="12" t="n"/>
      <c r="R65" s="12" t="n"/>
      <c r="S65" s="12" t="n"/>
      <c r="T65" s="14" t="n"/>
      <c r="U65" s="15" t="inlineStr">
        <is>
          <t>https://disclosures.ifc.org/project-detail/SII/48217/ida-psw-gtfp-le</t>
        </is>
      </c>
      <c r="V65" s="15" t="inlineStr">
        <is>
          <t>2023-05-12</t>
        </is>
      </c>
      <c r="W65" s="15" t="inlineStr">
        <is>
          <t>IDA PSW GTFP LE</t>
        </is>
      </c>
    </row>
    <row r="66">
      <c r="A66" s="8" t="n">
        <v>65</v>
      </c>
      <c r="B66" s="8" t="inlineStr">
        <is>
          <t>AR-065</t>
        </is>
      </c>
      <c r="C66" s="8" t="inlineStr">
        <is>
          <t>A</t>
        </is>
      </c>
      <c r="D66" s="8" t="inlineStr">
        <is>
          <t>trade-finance line</t>
        </is>
      </c>
      <c r="E66" s="8" t="inlineStr">
        <is>
          <t>EBRD</t>
        </is>
      </c>
      <c r="F66" s="8" t="inlineStr">
        <is>
          <t>Regional TFP: Khan Bank</t>
        </is>
      </c>
      <c r="G66" s="8" t="inlineStr">
        <is>
          <t>Mongolia</t>
        </is>
      </c>
      <c r="H66" s="8" t="n">
        <v>2007</v>
      </c>
      <c r="I66" s="9" t="n">
        <v>289770588.81</v>
      </c>
      <c r="J66" s="8" t="inlineStr">
        <is>
          <t>EUR</t>
        </is>
      </c>
      <c r="K66" s="10" t="n">
        <v>397.1242170111512</v>
      </c>
      <c r="L66" s="8" t="n">
        <v>46</v>
      </c>
      <c r="M66" s="8" t="inlineStr">
        <is>
          <t>Trade lines revolve: check whether the figure is a LIMIT (one commitment) or a running total of trade covered over the years. Our figure is EBRD's 'Net Cumulative Bank Investment'.</t>
        </is>
      </c>
      <c r="N66" s="11">
        <f>HYPERLINK("https://www.google.com/search?q=site%3Aebrd.com%2Fhome%2Fwork-with-us%2Fprojects%2Fpsd+Regional+TFP%3A+Khan+Bank","Search EBRD")</f>
        <v/>
      </c>
      <c r="O66" s="12" t="n"/>
      <c r="P66" s="13" t="n"/>
      <c r="Q66" s="12" t="n"/>
      <c r="R66" s="12" t="n"/>
      <c r="S66" s="12" t="n"/>
      <c r="T66" s="14" t="n"/>
      <c r="U66" s="15" t="inlineStr">
        <is>
          <t>https://www.ebrd.com/content/dam/ebrd_dxp/assets/pdfs/publications/ebrd-investments-1991-2025.xlsx</t>
        </is>
      </c>
      <c r="V66" s="15" t="inlineStr">
        <is>
          <t>2007-10-30</t>
        </is>
      </c>
      <c r="W66" s="15" t="inlineStr">
        <is>
          <t>Regional TFP: Khan Bank</t>
        </is>
      </c>
    </row>
    <row r="67">
      <c r="A67" s="8" t="n">
        <v>66</v>
      </c>
      <c r="B67" s="8" t="inlineStr">
        <is>
          <t>AR-066</t>
        </is>
      </c>
      <c r="C67" s="8" t="inlineStr">
        <is>
          <t>B</t>
        </is>
      </c>
      <c r="D67" s="8" t="inlineStr">
        <is>
          <t>top 200 by USD</t>
        </is>
      </c>
      <c r="E67" s="8" t="inlineStr">
        <is>
          <t>AfDB</t>
        </is>
      </c>
      <c r="F67" s="8" t="inlineStr">
        <is>
          <t>South Africa - Medupi  Power Project</t>
        </is>
      </c>
      <c r="G67" s="8" t="inlineStr">
        <is>
          <t>South Africa</t>
        </is>
      </c>
      <c r="H67" s="8" t="n">
        <v>2009</v>
      </c>
      <c r="I67" s="9" t="n">
        <v>1254477072.05</v>
      </c>
      <c r="J67" s="8" t="inlineStr">
        <is>
          <t>XDR</t>
        </is>
      </c>
      <c r="K67" s="10" t="n">
        <v>1940.968323619138</v>
      </c>
      <c r="L67" s="8" t="n">
        <v>1</v>
      </c>
      <c r="M67" s="8" t="inlineStr"/>
      <c r="N67" s="11">
        <f>HYPERLINK("https://mapafrica.afdb.org/en/projects/46002-P-ZA-FAA-001","Open page")</f>
        <v/>
      </c>
      <c r="O67" s="12" t="n"/>
      <c r="P67" s="13" t="n"/>
      <c r="Q67" s="12" t="n"/>
      <c r="R67" s="12" t="n"/>
      <c r="S67" s="12" t="n"/>
      <c r="T67" s="14" t="n"/>
      <c r="U67" s="15" t="inlineStr">
        <is>
          <t>https://mapafrica.afdb.org/en/projects/46002-P-ZA-FAA-001</t>
        </is>
      </c>
      <c r="V67" s="15" t="inlineStr">
        <is>
          <t>2009-11-25</t>
        </is>
      </c>
      <c r="W67" s="15" t="inlineStr">
        <is>
          <t>South Africa - Medupi  Power Project</t>
        </is>
      </c>
    </row>
    <row r="68">
      <c r="A68" s="8" t="n">
        <v>67</v>
      </c>
      <c r="B68" s="8" t="inlineStr">
        <is>
          <t>AR-067</t>
        </is>
      </c>
      <c r="C68" s="8" t="inlineStr">
        <is>
          <t>B</t>
        </is>
      </c>
      <c r="D68" s="8" t="inlineStr">
        <is>
          <t>top 200 by USD</t>
        </is>
      </c>
      <c r="E68" s="8" t="inlineStr">
        <is>
          <t>DFC</t>
        </is>
      </c>
      <c r="F68" s="8" t="inlineStr">
        <is>
          <t>Redacted</t>
        </is>
      </c>
      <c r="G68" s="8" t="inlineStr">
        <is>
          <t>Undisclosed</t>
        </is>
      </c>
      <c r="H68" s="8" t="n">
        <v>2024</v>
      </c>
      <c r="I68" s="9" t="n">
        <v>1715000000</v>
      </c>
      <c r="J68" s="8" t="inlineStr">
        <is>
          <t>USD</t>
        </is>
      </c>
      <c r="K68" s="10" t="n">
        <v>1715</v>
      </c>
      <c r="L68" s="8" t="n">
        <v>1</v>
      </c>
      <c r="M68" s="8" t="inlineStr">
        <is>
          <t>DFC withheld the name; there is no public page.</t>
        </is>
      </c>
      <c r="N68" s="8" t="inlineStr">
        <is>
          <t>No link</t>
        </is>
      </c>
      <c r="O68" s="12" t="n"/>
      <c r="P68" s="13" t="n"/>
      <c r="Q68" s="12" t="n"/>
      <c r="R68" s="12" t="n"/>
      <c r="S68" s="12" t="n"/>
      <c r="T68" s="14" t="n"/>
      <c r="U68" s="15" t="inlineStr">
        <is>
          <t>Redacted</t>
        </is>
      </c>
      <c r="V68" s="15" t="n"/>
      <c r="W68" s="15" t="inlineStr">
        <is>
          <t>Redacted</t>
        </is>
      </c>
    </row>
    <row r="69">
      <c r="A69" s="8" t="n">
        <v>68</v>
      </c>
      <c r="B69" s="8" t="inlineStr">
        <is>
          <t>AR-068</t>
        </is>
      </c>
      <c r="C69" s="8" t="inlineStr">
        <is>
          <t>B</t>
        </is>
      </c>
      <c r="D69" s="8" t="inlineStr">
        <is>
          <t>top 200 by USD</t>
        </is>
      </c>
      <c r="E69" s="8" t="inlineStr">
        <is>
          <t>AfDB</t>
        </is>
      </c>
      <c r="F69" s="8" t="inlineStr">
        <is>
          <t>Botswana - The Economic Diversification Support Programme</t>
        </is>
      </c>
      <c r="G69" s="8" t="inlineStr">
        <is>
          <t>Botswana</t>
        </is>
      </c>
      <c r="H69" s="8" t="n">
        <v>2009</v>
      </c>
      <c r="I69" s="9" t="n">
        <v>1088305073.68</v>
      </c>
      <c r="J69" s="8" t="inlineStr">
        <is>
          <t>XDR</t>
        </is>
      </c>
      <c r="K69" s="10" t="n">
        <v>1683.861524065128</v>
      </c>
      <c r="L69" s="8" t="n">
        <v>2</v>
      </c>
      <c r="M69" s="8" t="inlineStr"/>
      <c r="N69" s="11">
        <f>HYPERLINK("https://mapafrica.afdb.org/en/projects/46002-P-BW-K00-001","Open page")</f>
        <v/>
      </c>
      <c r="O69" s="12" t="n"/>
      <c r="P69" s="13" t="n"/>
      <c r="Q69" s="12" t="n"/>
      <c r="R69" s="12" t="n"/>
      <c r="S69" s="12" t="n"/>
      <c r="T69" s="14" t="n"/>
      <c r="U69" s="15" t="inlineStr">
        <is>
          <t>https://mapafrica.afdb.org/en/projects/46002-P-BW-K00-001</t>
        </is>
      </c>
      <c r="V69" s="15" t="inlineStr">
        <is>
          <t>2009-06-02</t>
        </is>
      </c>
      <c r="W69" s="15" t="inlineStr">
        <is>
          <t>Botswana - The Economic Diversification Support Programme</t>
        </is>
      </c>
    </row>
    <row r="70">
      <c r="A70" s="8" t="n">
        <v>69</v>
      </c>
      <c r="B70" s="8" t="inlineStr">
        <is>
          <t>AR-069</t>
        </is>
      </c>
      <c r="C70" s="8" t="inlineStr">
        <is>
          <t>B</t>
        </is>
      </c>
      <c r="D70" s="8" t="inlineStr">
        <is>
          <t>top 200 by USD</t>
        </is>
      </c>
      <c r="E70" s="8" t="inlineStr">
        <is>
          <t>AfDB</t>
        </is>
      </c>
      <c r="F70" s="8" t="inlineStr">
        <is>
          <t>Transition Support Facility – ADF-16 Allocation</t>
        </is>
      </c>
      <c r="G70" s="8" t="inlineStr">
        <is>
          <t>Regional — Africa</t>
        </is>
      </c>
      <c r="H70" s="8" t="n">
        <v>2023</v>
      </c>
      <c r="I70" s="9" t="n">
        <v>1244280000</v>
      </c>
      <c r="J70" s="8" t="inlineStr">
        <is>
          <t>XDR</t>
        </is>
      </c>
      <c r="K70" s="10" t="n">
        <v>1656.0184734</v>
      </c>
      <c r="L70" s="8" t="n">
        <v>3</v>
      </c>
      <c r="M70" s="8" t="inlineStr"/>
      <c r="N70" s="11">
        <f>HYPERLINK("https://mapafrica.afdb.org/en/projects/46002-P-Z1-K00-188","Open page")</f>
        <v/>
      </c>
      <c r="O70" s="12" t="n"/>
      <c r="P70" s="13" t="n"/>
      <c r="Q70" s="12" t="n"/>
      <c r="R70" s="12" t="n"/>
      <c r="S70" s="12" t="n"/>
      <c r="T70" s="14" t="n"/>
      <c r="U70" s="15" t="inlineStr">
        <is>
          <t>https://mapafrica.afdb.org/en/projects/46002-P-Z1-K00-188</t>
        </is>
      </c>
      <c r="V70" s="15" t="inlineStr">
        <is>
          <t>2023-05-16</t>
        </is>
      </c>
      <c r="W70" s="15" t="inlineStr">
        <is>
          <t>Transition Support Facility – ADF-16 Allocation</t>
        </is>
      </c>
    </row>
    <row r="71">
      <c r="A71" s="8" t="n">
        <v>70</v>
      </c>
      <c r="B71" s="8" t="inlineStr">
        <is>
          <t>AR-070</t>
        </is>
      </c>
      <c r="C71" s="8" t="inlineStr">
        <is>
          <t>B</t>
        </is>
      </c>
      <c r="D71" s="8" t="inlineStr">
        <is>
          <t>top 200 by USD</t>
        </is>
      </c>
      <c r="E71" s="8" t="inlineStr">
        <is>
          <t>DFC</t>
        </is>
      </c>
      <c r="F71" s="8" t="inlineStr">
        <is>
          <t>Rovuma LNG Phase I</t>
        </is>
      </c>
      <c r="G71" s="8" t="inlineStr">
        <is>
          <t>Mozambique</t>
        </is>
      </c>
      <c r="H71" s="8" t="n">
        <v>2022</v>
      </c>
      <c r="I71" s="9" t="n">
        <v>1500000000</v>
      </c>
      <c r="J71" s="8" t="inlineStr">
        <is>
          <t>USD</t>
        </is>
      </c>
      <c r="K71" s="10" t="n">
        <v>1500</v>
      </c>
      <c r="L71" s="8" t="n">
        <v>2</v>
      </c>
      <c r="M71" s="8" t="inlineStr"/>
      <c r="N71" s="11">
        <f>HYPERLINK("https://www.dfc.gov/sites/default/files/media/documents/9000093392.pdf","Open page")</f>
        <v/>
      </c>
      <c r="O71" s="12" t="n"/>
      <c r="P71" s="13" t="n"/>
      <c r="Q71" s="12" t="n"/>
      <c r="R71" s="12" t="n"/>
      <c r="S71" s="12" t="n"/>
      <c r="T71" s="14" t="n"/>
      <c r="U71" s="15" t="inlineStr">
        <is>
          <t>https://www.dfc.gov/sites/default/files/media/documents/9000093392.pdf</t>
        </is>
      </c>
      <c r="V71" s="15" t="n"/>
      <c r="W71" s="15" t="inlineStr">
        <is>
          <t>Rovuma LNG Phase I</t>
        </is>
      </c>
    </row>
    <row r="72">
      <c r="A72" s="8" t="n">
        <v>71</v>
      </c>
      <c r="B72" s="8" t="inlineStr">
        <is>
          <t>AR-071</t>
        </is>
      </c>
      <c r="C72" s="8" t="inlineStr">
        <is>
          <t>B</t>
        </is>
      </c>
      <c r="D72" s="8" t="inlineStr">
        <is>
          <t>top 200 by USD</t>
        </is>
      </c>
      <c r="E72" s="8" t="inlineStr">
        <is>
          <t>AfDB</t>
        </is>
      </c>
      <c r="F72" s="8" t="inlineStr">
        <is>
          <t>Multinational - Transition support fund ADF- 15 Allocation</t>
        </is>
      </c>
      <c r="G72" s="8" t="inlineStr">
        <is>
          <t>Regional — Africa</t>
        </is>
      </c>
      <c r="H72" s="8" t="n">
        <v>2020</v>
      </c>
      <c r="I72" s="9" t="n">
        <v>899400000</v>
      </c>
      <c r="J72" s="8" t="inlineStr">
        <is>
          <t>XDR</t>
        </is>
      </c>
      <c r="K72" s="10" t="n">
        <v>1257.1561368</v>
      </c>
      <c r="L72" s="8" t="n">
        <v>4</v>
      </c>
      <c r="M72" s="8" t="inlineStr"/>
      <c r="N72" s="11">
        <f>HYPERLINK("https://mapafrica.afdb.org/en/projects/46002-P-Z1-K00-167","Open page")</f>
        <v/>
      </c>
      <c r="O72" s="12" t="n"/>
      <c r="P72" s="13" t="n"/>
      <c r="Q72" s="12" t="n"/>
      <c r="R72" s="12" t="n"/>
      <c r="S72" s="12" t="n"/>
      <c r="T72" s="14" t="n"/>
      <c r="U72" s="15" t="inlineStr">
        <is>
          <t>https://mapafrica.afdb.org/en/projects/46002-P-Z1-K00-167</t>
        </is>
      </c>
      <c r="V72" s="15" t="inlineStr">
        <is>
          <t>2020-06-10</t>
        </is>
      </c>
      <c r="W72" s="15" t="inlineStr">
        <is>
          <t>Multinational - Transition support fund ADF- 15 Allocation</t>
        </is>
      </c>
    </row>
    <row r="73">
      <c r="A73" s="8" t="n">
        <v>72</v>
      </c>
      <c r="B73" s="8" t="inlineStr">
        <is>
          <t>AR-072</t>
        </is>
      </c>
      <c r="C73" s="8" t="inlineStr">
        <is>
          <t>B</t>
        </is>
      </c>
      <c r="D73" s="8" t="inlineStr">
        <is>
          <t>top 200 by USD</t>
        </is>
      </c>
      <c r="E73" s="8" t="inlineStr">
        <is>
          <t>AfDB</t>
        </is>
      </c>
      <c r="F73" s="8" t="inlineStr">
        <is>
          <t>Multinational - Fragile states fund allocation ADF-12</t>
        </is>
      </c>
      <c r="G73" s="8" t="inlineStr">
        <is>
          <t>Regional — Africa</t>
        </is>
      </c>
      <c r="H73" s="8" t="n">
        <v>2010</v>
      </c>
      <c r="I73" s="9" t="n">
        <v>764000000</v>
      </c>
      <c r="J73" s="8" t="inlineStr">
        <is>
          <t>XDR</t>
        </is>
      </c>
      <c r="K73" s="10" t="n">
        <v>1156.979444</v>
      </c>
      <c r="L73" s="8" t="n">
        <v>5</v>
      </c>
      <c r="M73" s="8" t="inlineStr"/>
      <c r="N73" s="11">
        <f>HYPERLINK("https://mapafrica.afdb.org/en/projects/46002-P-Z1-K00-046","Open page")</f>
        <v/>
      </c>
      <c r="O73" s="12" t="n"/>
      <c r="P73" s="13" t="n"/>
      <c r="Q73" s="12" t="n"/>
      <c r="R73" s="12" t="n"/>
      <c r="S73" s="12" t="n"/>
      <c r="T73" s="14" t="n"/>
      <c r="U73" s="15" t="inlineStr">
        <is>
          <t>https://mapafrica.afdb.org/en/projects/46002-P-Z1-K00-046</t>
        </is>
      </c>
      <c r="V73" s="15" t="inlineStr">
        <is>
          <t>2010-11-09</t>
        </is>
      </c>
      <c r="W73" s="15" t="inlineStr">
        <is>
          <t>Multinational - Fragile states fund allocation ADF-12</t>
        </is>
      </c>
    </row>
    <row r="74">
      <c r="A74" s="8" t="n">
        <v>73</v>
      </c>
      <c r="B74" s="8" t="inlineStr">
        <is>
          <t>AR-073</t>
        </is>
      </c>
      <c r="C74" s="8" t="inlineStr">
        <is>
          <t>B</t>
        </is>
      </c>
      <c r="D74" s="8" t="inlineStr">
        <is>
          <t>top 200 by USD</t>
        </is>
      </c>
      <c r="E74" s="8" t="inlineStr">
        <is>
          <t>AfDB</t>
        </is>
      </c>
      <c r="F74" s="8" t="inlineStr">
        <is>
          <t>Angola - Power Sector Reform Support Program</t>
        </is>
      </c>
      <c r="G74" s="8" t="inlineStr">
        <is>
          <t>Angola</t>
        </is>
      </c>
      <c r="H74" s="8" t="n">
        <v>2014</v>
      </c>
      <c r="I74" s="9" t="n">
        <v>728852349.09</v>
      </c>
      <c r="J74" s="8" t="inlineStr">
        <is>
          <t>XDR</t>
        </is>
      </c>
      <c r="K74" s="10" t="n">
        <v>1101.417617817288</v>
      </c>
      <c r="L74" s="8" t="n">
        <v>6</v>
      </c>
      <c r="M74" s="8" t="inlineStr"/>
      <c r="N74" s="11">
        <f>HYPERLINK("https://mapafrica.afdb.org/en/projects/46002-P-AO-FA0-002","Open page")</f>
        <v/>
      </c>
      <c r="O74" s="12" t="n"/>
      <c r="P74" s="13" t="n"/>
      <c r="Q74" s="12" t="n"/>
      <c r="R74" s="12" t="n"/>
      <c r="S74" s="12" t="n"/>
      <c r="T74" s="14" t="n"/>
      <c r="U74" s="15" t="inlineStr">
        <is>
          <t>https://mapafrica.afdb.org/en/projects/46002-P-AO-FA0-002</t>
        </is>
      </c>
      <c r="V74" s="15" t="inlineStr">
        <is>
          <t>2014-05-13</t>
        </is>
      </c>
      <c r="W74" s="15" t="inlineStr">
        <is>
          <t>Angola - Power Sector Reform Support Program</t>
        </is>
      </c>
    </row>
    <row r="75">
      <c r="A75" s="8" t="n">
        <v>74</v>
      </c>
      <c r="B75" s="8" t="inlineStr">
        <is>
          <t>AR-074</t>
        </is>
      </c>
      <c r="C75" s="8" t="inlineStr">
        <is>
          <t>B</t>
        </is>
      </c>
      <c r="D75" s="8" t="inlineStr">
        <is>
          <t>top 200 by USD</t>
        </is>
      </c>
      <c r="E75" s="8" t="inlineStr">
        <is>
          <t>AfDB</t>
        </is>
      </c>
      <c r="F75" s="8" t="inlineStr">
        <is>
          <t>Algeria - Industrial and Energy Competitiveness Support Programme (PACIE)</t>
        </is>
      </c>
      <c r="G75" s="8" t="inlineStr">
        <is>
          <t>Algeria</t>
        </is>
      </c>
      <c r="H75" s="8" t="n">
        <v>2016</v>
      </c>
      <c r="I75" s="9" t="n">
        <v>763954909.6799999</v>
      </c>
      <c r="J75" s="8" t="inlineStr">
        <is>
          <t>XDR</t>
        </is>
      </c>
      <c r="K75" s="10" t="n">
        <v>1060.128768839291</v>
      </c>
      <c r="L75" s="8" t="n">
        <v>7</v>
      </c>
      <c r="M75" s="8" t="inlineStr"/>
      <c r="N75" s="11">
        <f>HYPERLINK("https://mapafrica.afdb.org/en/projects/46002-P-DZ-K00-007","Open page")</f>
        <v/>
      </c>
      <c r="O75" s="12" t="n"/>
      <c r="P75" s="13" t="n"/>
      <c r="Q75" s="12" t="n"/>
      <c r="R75" s="12" t="n"/>
      <c r="S75" s="12" t="n"/>
      <c r="T75" s="14" t="n"/>
      <c r="U75" s="15" t="inlineStr">
        <is>
          <t>https://mapafrica.afdb.org/en/projects/46002-P-DZ-K00-007</t>
        </is>
      </c>
      <c r="V75" s="15" t="inlineStr">
        <is>
          <t>2016-11-02</t>
        </is>
      </c>
      <c r="W75" s="15" t="inlineStr">
        <is>
          <t>Algeria - Industrial and Energy Competitiveness Support Programme (PACIE)</t>
        </is>
      </c>
    </row>
    <row r="76">
      <c r="A76" s="8" t="n">
        <v>75</v>
      </c>
      <c r="B76" s="8" t="inlineStr">
        <is>
          <t>AR-075</t>
        </is>
      </c>
      <c r="C76" s="8" t="inlineStr">
        <is>
          <t>B</t>
        </is>
      </c>
      <c r="D76" s="8" t="inlineStr">
        <is>
          <t>top 200 by USD</t>
        </is>
      </c>
      <c r="E76" s="8" t="inlineStr">
        <is>
          <t>AfDB</t>
        </is>
      </c>
      <c r="F76" s="8" t="inlineStr">
        <is>
          <t>South Africa -Transnet III</t>
        </is>
      </c>
      <c r="G76" s="8" t="inlineStr">
        <is>
          <t>South Africa</t>
        </is>
      </c>
      <c r="H76" s="8" t="n">
        <v>2024</v>
      </c>
      <c r="I76" s="9" t="n">
        <v>789303706.96</v>
      </c>
      <c r="J76" s="8" t="inlineStr">
        <is>
          <t>XDR</t>
        </is>
      </c>
      <c r="K76" s="10" t="n">
        <v>1048.697320000507</v>
      </c>
      <c r="L76" s="8" t="n">
        <v>8</v>
      </c>
      <c r="M76" s="8" t="inlineStr"/>
      <c r="N76" s="11">
        <f>HYPERLINK("https://mapafrica.afdb.org/en/projects/46002-P-ZA-DC0-003","Open page")</f>
        <v/>
      </c>
      <c r="O76" s="12" t="n"/>
      <c r="P76" s="13" t="n"/>
      <c r="Q76" s="12" t="n"/>
      <c r="R76" s="12" t="n"/>
      <c r="S76" s="12" t="n"/>
      <c r="T76" s="14" t="n"/>
      <c r="U76" s="15" t="inlineStr">
        <is>
          <t>https://mapafrica.afdb.org/en/projects/46002-P-ZA-DC0-003</t>
        </is>
      </c>
      <c r="V76" s="15" t="inlineStr">
        <is>
          <t>2024-07-12</t>
        </is>
      </c>
      <c r="W76" s="15" t="inlineStr">
        <is>
          <t>South Africa -Transnet III</t>
        </is>
      </c>
    </row>
    <row r="77">
      <c r="A77" s="8" t="n">
        <v>76</v>
      </c>
      <c r="B77" s="8" t="inlineStr">
        <is>
          <t>AR-076</t>
        </is>
      </c>
      <c r="C77" s="8" t="inlineStr">
        <is>
          <t>B</t>
        </is>
      </c>
      <c r="D77" s="8" t="inlineStr">
        <is>
          <t>top 200 by USD</t>
        </is>
      </c>
      <c r="E77" s="8" t="inlineStr">
        <is>
          <t>EIB Global</t>
        </is>
      </c>
      <c r="F77" s="8" t="inlineStr">
        <is>
          <t>ISTANBUL URBAN TRANSPORT II</t>
        </is>
      </c>
      <c r="G77" s="8" t="inlineStr">
        <is>
          <t>Türkiye</t>
        </is>
      </c>
      <c r="H77" s="8" t="n">
        <v>2008</v>
      </c>
      <c r="I77" s="9" t="n">
        <v>700000000</v>
      </c>
      <c r="J77" s="8" t="inlineStr">
        <is>
          <t>EUR</t>
        </is>
      </c>
      <c r="K77" s="10" t="n">
        <v>1029.5285</v>
      </c>
      <c r="L77" s="8" t="n">
        <v>1</v>
      </c>
      <c r="M77" s="8" t="inlineStr"/>
      <c r="N77" s="11">
        <f>HYPERLINK("https://www.eib.org/en/projects/loans/all/20060462","Open page")</f>
        <v/>
      </c>
      <c r="O77" s="12" t="n"/>
      <c r="P77" s="13" t="n"/>
      <c r="Q77" s="12" t="n"/>
      <c r="R77" s="12" t="n"/>
      <c r="S77" s="12" t="n"/>
      <c r="T77" s="14" t="n"/>
      <c r="U77" s="15" t="inlineStr">
        <is>
          <t>https://www.eib.org/en/projects/loans/all/20060462</t>
        </is>
      </c>
      <c r="V77" s="15" t="inlineStr">
        <is>
          <t>2008-04-10</t>
        </is>
      </c>
      <c r="W77" s="15" t="inlineStr">
        <is>
          <t>ISTANBUL URBAN TRANSPORT II</t>
        </is>
      </c>
    </row>
    <row r="78">
      <c r="A78" s="8" t="n">
        <v>77</v>
      </c>
      <c r="B78" s="8" t="inlineStr">
        <is>
          <t>AR-077</t>
        </is>
      </c>
      <c r="C78" s="8" t="inlineStr">
        <is>
          <t>B</t>
        </is>
      </c>
      <c r="D78" s="8" t="inlineStr">
        <is>
          <t>top 200 by USD</t>
        </is>
      </c>
      <c r="E78" s="8" t="inlineStr">
        <is>
          <t>AfDB</t>
        </is>
      </c>
      <c r="F78" s="8" t="inlineStr">
        <is>
          <t>Multinational - Transition support Fund ADF-13 allocation</t>
        </is>
      </c>
      <c r="G78" s="8" t="inlineStr">
        <is>
          <t>Regional — Africa</t>
        </is>
      </c>
      <c r="H78" s="8" t="n">
        <v>2013</v>
      </c>
      <c r="I78" s="9" t="n">
        <v>662000000</v>
      </c>
      <c r="J78" s="8" t="inlineStr">
        <is>
          <t>XDR</t>
        </is>
      </c>
      <c r="K78" s="10" t="n">
        <v>1005.879872</v>
      </c>
      <c r="L78" s="8" t="n">
        <v>9</v>
      </c>
      <c r="M78" s="8" t="inlineStr"/>
      <c r="N78" s="11">
        <f>HYPERLINK("https://mapafrica.afdb.org/en/projects/46002-P-Z1-K00-078","Open page")</f>
        <v/>
      </c>
      <c r="O78" s="12" t="n"/>
      <c r="P78" s="13" t="n"/>
      <c r="Q78" s="12" t="n"/>
      <c r="R78" s="12" t="n"/>
      <c r="S78" s="12" t="n"/>
      <c r="T78" s="14" t="n"/>
      <c r="U78" s="15" t="inlineStr">
        <is>
          <t>https://mapafrica.afdb.org/en/projects/46002-P-Z1-K00-078</t>
        </is>
      </c>
      <c r="V78" s="15" t="inlineStr">
        <is>
          <t>2013-11-13</t>
        </is>
      </c>
      <c r="W78" s="15" t="inlineStr">
        <is>
          <t>Multinational - Transition support Fund ADF-13 allocation</t>
        </is>
      </c>
    </row>
    <row r="79">
      <c r="A79" s="8" t="n">
        <v>78</v>
      </c>
      <c r="B79" s="8" t="inlineStr">
        <is>
          <t>AR-078</t>
        </is>
      </c>
      <c r="C79" s="8" t="inlineStr">
        <is>
          <t>B</t>
        </is>
      </c>
      <c r="D79" s="8" t="inlineStr">
        <is>
          <t>top 200 by USD</t>
        </is>
      </c>
      <c r="E79" s="8" t="inlineStr">
        <is>
          <t>DFC</t>
        </is>
      </c>
      <c r="F79" s="8" t="inlineStr">
        <is>
          <t>Gavi Alliance</t>
        </is>
      </c>
      <c r="G79" s="8" t="inlineStr">
        <is>
          <t>Regional — Global</t>
        </is>
      </c>
      <c r="H79" s="8" t="n">
        <v>2024</v>
      </c>
      <c r="I79" s="9" t="n">
        <v>1000000000</v>
      </c>
      <c r="J79" s="8" t="inlineStr">
        <is>
          <t>USD</t>
        </is>
      </c>
      <c r="K79" s="10" t="n">
        <v>1000</v>
      </c>
      <c r="L79" s="8" t="n">
        <v>3</v>
      </c>
      <c r="M79" s="8" t="inlineStr"/>
      <c r="N79" s="11">
        <f>HYPERLINK("https://www.dfc.gov/sites/default/files/media/documents/9000116518.pdf","Open page")</f>
        <v/>
      </c>
      <c r="O79" s="12" t="n"/>
      <c r="P79" s="13" t="n"/>
      <c r="Q79" s="12" t="n"/>
      <c r="R79" s="12" t="n"/>
      <c r="S79" s="12" t="n"/>
      <c r="T79" s="14" t="n"/>
      <c r="U79" s="15" t="inlineStr">
        <is>
          <t>https://www.dfc.gov/sites/default/files/media/documents/9000116518.pdf</t>
        </is>
      </c>
      <c r="V79" s="15" t="n"/>
      <c r="W79" s="15" t="inlineStr">
        <is>
          <t>Gavi Alliance</t>
        </is>
      </c>
    </row>
    <row r="80">
      <c r="A80" s="8" t="n">
        <v>79</v>
      </c>
      <c r="B80" s="8" t="inlineStr">
        <is>
          <t>AR-079</t>
        </is>
      </c>
      <c r="C80" s="8" t="inlineStr">
        <is>
          <t>B</t>
        </is>
      </c>
      <c r="D80" s="8" t="inlineStr">
        <is>
          <t>top 200 by USD</t>
        </is>
      </c>
      <c r="E80" s="8" t="inlineStr">
        <is>
          <t>DFC</t>
        </is>
      </c>
      <c r="F80" s="8" t="inlineStr">
        <is>
          <t>Debt Conversion for Water Security and Climate Resilience in the Rio Lempa Watershed</t>
        </is>
      </c>
      <c r="G80" s="8" t="inlineStr">
        <is>
          <t>El Salvador</t>
        </is>
      </c>
      <c r="H80" s="8" t="n">
        <v>2024</v>
      </c>
      <c r="I80" s="9" t="n">
        <v>1000000000</v>
      </c>
      <c r="J80" s="8" t="inlineStr">
        <is>
          <t>USD</t>
        </is>
      </c>
      <c r="K80" s="10" t="n">
        <v>1000</v>
      </c>
      <c r="L80" s="8" t="n">
        <v>4</v>
      </c>
      <c r="M80" s="8" t="inlineStr"/>
      <c r="N80" s="11">
        <f>HYPERLINK("https://www.dfc.gov/sites/default/files/media/documents/9000116724.pdf","Open page")</f>
        <v/>
      </c>
      <c r="O80" s="12" t="n"/>
      <c r="P80" s="13" t="n"/>
      <c r="Q80" s="12" t="n"/>
      <c r="R80" s="12" t="n"/>
      <c r="S80" s="12" t="n"/>
      <c r="T80" s="14" t="n"/>
      <c r="U80" s="15" t="inlineStr">
        <is>
          <t>https://www.dfc.gov/sites/default/files/media/documents/9000116724.pdf</t>
        </is>
      </c>
      <c r="V80" s="15" t="n"/>
      <c r="W80" s="15" t="inlineStr">
        <is>
          <t>Debt Conversion for Water Security and Climate Resilience in the Rio Lempa Watershed</t>
        </is>
      </c>
    </row>
    <row r="81">
      <c r="A81" s="8" t="n">
        <v>80</v>
      </c>
      <c r="B81" s="8" t="inlineStr">
        <is>
          <t>AR-080</t>
        </is>
      </c>
      <c r="C81" s="8" t="inlineStr">
        <is>
          <t>B</t>
        </is>
      </c>
      <c r="D81" s="8" t="inlineStr">
        <is>
          <t>top 200 by USD</t>
        </is>
      </c>
      <c r="E81" s="8" t="inlineStr">
        <is>
          <t>AfDB</t>
        </is>
      </c>
      <c r="F81" s="8" t="inlineStr">
        <is>
          <t>Multinational - Transition Support Fund - ADF-14 Allocation</t>
        </is>
      </c>
      <c r="G81" s="8" t="inlineStr">
        <is>
          <t>Regional — Africa</t>
        </is>
      </c>
      <c r="H81" s="8" t="n">
        <v>2017</v>
      </c>
      <c r="I81" s="9" t="n">
        <v>711150000</v>
      </c>
      <c r="J81" s="8" t="inlineStr">
        <is>
          <t>XDR</t>
        </is>
      </c>
      <c r="K81" s="10" t="n">
        <v>989.8255058999999</v>
      </c>
      <c r="L81" s="8" t="n">
        <v>10</v>
      </c>
      <c r="M81" s="8" t="inlineStr"/>
      <c r="N81" s="11">
        <f>HYPERLINK("https://mapafrica.afdb.org/en/projects/46002-P-Z1-K00-119","Open page")</f>
        <v/>
      </c>
      <c r="O81" s="12" t="n"/>
      <c r="P81" s="13" t="n"/>
      <c r="Q81" s="12" t="n"/>
      <c r="R81" s="12" t="n"/>
      <c r="S81" s="12" t="n"/>
      <c r="T81" s="14" t="n"/>
      <c r="U81" s="15" t="inlineStr">
        <is>
          <t>https://mapafrica.afdb.org/en/projects/46002-P-Z1-K00-119</t>
        </is>
      </c>
      <c r="V81" s="15" t="inlineStr">
        <is>
          <t>2017-02-08</t>
        </is>
      </c>
      <c r="W81" s="15" t="inlineStr">
        <is>
          <t>Multinational - Transition Support Fund - ADF-14 Allocation</t>
        </is>
      </c>
    </row>
    <row r="82">
      <c r="A82" s="8" t="n">
        <v>81</v>
      </c>
      <c r="B82" s="8" t="inlineStr">
        <is>
          <t>AR-081</t>
        </is>
      </c>
      <c r="C82" s="8" t="inlineStr">
        <is>
          <t>B</t>
        </is>
      </c>
      <c r="D82" s="8" t="inlineStr">
        <is>
          <t>top 200 by USD</t>
        </is>
      </c>
      <c r="E82" s="8" t="inlineStr">
        <is>
          <t>EIB Global</t>
        </is>
      </c>
      <c r="F82" s="8" t="inlineStr">
        <is>
          <t>NBE LOAN FOR SMES AND MIDCAPS COVID-19</t>
        </is>
      </c>
      <c r="G82" s="8" t="inlineStr">
        <is>
          <t>Egypt</t>
        </is>
      </c>
      <c r="H82" s="8" t="n">
        <v>2020</v>
      </c>
      <c r="I82" s="9" t="n">
        <v>800000000</v>
      </c>
      <c r="J82" s="8" t="inlineStr">
        <is>
          <t>EUR</t>
        </is>
      </c>
      <c r="K82" s="10" t="n">
        <v>913.7568</v>
      </c>
      <c r="L82" s="8" t="n">
        <v>2</v>
      </c>
      <c r="M82" s="8" t="inlineStr"/>
      <c r="N82" s="11">
        <f>HYPERLINK("https://www.eib.org/en/projects/loans/all/20200093","Open page")</f>
        <v/>
      </c>
      <c r="O82" s="12" t="n"/>
      <c r="P82" s="13" t="n"/>
      <c r="Q82" s="12" t="n"/>
      <c r="R82" s="12" t="n"/>
      <c r="S82" s="12" t="n"/>
      <c r="T82" s="14" t="n"/>
      <c r="U82" s="15" t="inlineStr">
        <is>
          <t>https://www.eib.org/en/projects/loans/all/20200093</t>
        </is>
      </c>
      <c r="V82" s="15" t="inlineStr">
        <is>
          <t>2020-09-02</t>
        </is>
      </c>
      <c r="W82" s="15" t="inlineStr">
        <is>
          <t>NBE LOAN FOR SMES AND MIDCAPS COVID-19</t>
        </is>
      </c>
    </row>
    <row r="83">
      <c r="A83" s="8" t="n">
        <v>82</v>
      </c>
      <c r="B83" s="8" t="inlineStr">
        <is>
          <t>AR-082</t>
        </is>
      </c>
      <c r="C83" s="8" t="inlineStr">
        <is>
          <t>B</t>
        </is>
      </c>
      <c r="D83" s="8" t="inlineStr">
        <is>
          <t>top 200 by USD</t>
        </is>
      </c>
      <c r="E83" s="8" t="inlineStr">
        <is>
          <t>AfDB</t>
        </is>
      </c>
      <c r="F83" s="8" t="inlineStr">
        <is>
          <t>Algeria - Laghouat – Ghardaïa – El Menéa Railway Line Construction Project</t>
        </is>
      </c>
      <c r="G83" s="8" t="inlineStr">
        <is>
          <t>Algeria</t>
        </is>
      </c>
      <c r="H83" s="8" t="n">
        <v>2025</v>
      </c>
      <c r="I83" s="9" t="n">
        <v>639509628.14</v>
      </c>
      <c r="J83" s="8" t="inlineStr">
        <is>
          <t>XDR</t>
        </is>
      </c>
      <c r="K83" s="10" t="n">
        <v>868.2551875197684</v>
      </c>
      <c r="L83" s="8" t="n">
        <v>11</v>
      </c>
      <c r="M83" s="8" t="inlineStr"/>
      <c r="N83" s="11">
        <f>HYPERLINK("https://mapafrica.afdb.org/en/projects/46002-P-DZ-DC0-003","Open page")</f>
        <v/>
      </c>
      <c r="O83" s="12" t="n"/>
      <c r="P83" s="13" t="n"/>
      <c r="Q83" s="12" t="n"/>
      <c r="R83" s="12" t="n"/>
      <c r="S83" s="12" t="n"/>
      <c r="T83" s="14" t="n"/>
      <c r="U83" s="15" t="inlineStr">
        <is>
          <t>https://mapafrica.afdb.org/en/projects/46002-P-DZ-DC0-003</t>
        </is>
      </c>
      <c r="V83" s="15" t="inlineStr">
        <is>
          <t>2025-12-11</t>
        </is>
      </c>
      <c r="W83" s="15" t="inlineStr">
        <is>
          <t>Algeria - Laghouat – Ghardaïa – El Menéa Railway Line Construction Project</t>
        </is>
      </c>
    </row>
    <row r="84">
      <c r="A84" s="8" t="n">
        <v>83</v>
      </c>
      <c r="B84" s="8" t="inlineStr">
        <is>
          <t>AR-083</t>
        </is>
      </c>
      <c r="C84" s="8" t="inlineStr">
        <is>
          <t>B</t>
        </is>
      </c>
      <c r="D84" s="8" t="inlineStr">
        <is>
          <t>top 200 by USD</t>
        </is>
      </c>
      <c r="E84" s="8" t="inlineStr">
        <is>
          <t>EBRD</t>
        </is>
      </c>
      <c r="F84" s="8" t="inlineStr">
        <is>
          <t>Roads Reconstruction and Upgrading Project</t>
        </is>
      </c>
      <c r="G84" s="8" t="inlineStr">
        <is>
          <t>Azerbaijan</t>
        </is>
      </c>
      <c r="H84" s="8" t="n">
        <v>2011</v>
      </c>
      <c r="I84" s="9" t="n">
        <v>592981314.9400001</v>
      </c>
      <c r="J84" s="8" t="inlineStr">
        <is>
          <t>EUR</t>
        </is>
      </c>
      <c r="K84" s="10" t="n">
        <v>825.4033062373078</v>
      </c>
      <c r="L84" s="8" t="n">
        <v>16</v>
      </c>
      <c r="M84" s="8" t="inlineStr">
        <is>
          <t>Our figure is EBRD's 'Net Cumulative Bank Investment'.</t>
        </is>
      </c>
      <c r="N84" s="11">
        <f>HYPERLINK("https://www.google.com/search?q=site%3Aebrd.com%2Fhome%2Fwork-with-us%2Fprojects%2Fpsd+Roads+Reconstruction+and+Upgrading+Project","Search EBRD")</f>
        <v/>
      </c>
      <c r="O84" s="12" t="n"/>
      <c r="P84" s="13" t="n"/>
      <c r="Q84" s="12" t="n"/>
      <c r="R84" s="12" t="n"/>
      <c r="S84" s="12" t="n"/>
      <c r="T84" s="14" t="n"/>
      <c r="U84" s="15" t="inlineStr">
        <is>
          <t>https://www.ebrd.com/content/dam/ebrd_dxp/assets/pdfs/publications/ebrd-investments-1991-2025.xlsx</t>
        </is>
      </c>
      <c r="V84" s="15" t="inlineStr">
        <is>
          <t>2011-12-15</t>
        </is>
      </c>
      <c r="W84" s="15" t="inlineStr">
        <is>
          <t>Roads Reconstruction and Upgrading Project</t>
        </is>
      </c>
    </row>
    <row r="85">
      <c r="A85" s="8" t="n">
        <v>84</v>
      </c>
      <c r="B85" s="8" t="inlineStr">
        <is>
          <t>AR-084</t>
        </is>
      </c>
      <c r="C85" s="8" t="inlineStr">
        <is>
          <t>B</t>
        </is>
      </c>
      <c r="D85" s="8" t="inlineStr">
        <is>
          <t>top 200 by USD</t>
        </is>
      </c>
      <c r="E85" s="8" t="inlineStr">
        <is>
          <t>AfDB</t>
        </is>
      </c>
      <c r="F85" s="8" t="inlineStr">
        <is>
          <t>Mozambique - Mozambique LNG Area 1</t>
        </is>
      </c>
      <c r="G85" s="8" t="inlineStr">
        <is>
          <t>Mozambique</t>
        </is>
      </c>
      <c r="H85" s="8" t="n">
        <v>2019</v>
      </c>
      <c r="I85" s="9" t="n">
        <v>590213305.76</v>
      </c>
      <c r="J85" s="8" t="inlineStr">
        <is>
          <t>XDR</t>
        </is>
      </c>
      <c r="K85" s="10" t="n">
        <v>815.1849115165392</v>
      </c>
      <c r="L85" s="8" t="n">
        <v>12</v>
      </c>
      <c r="M85" s="8" t="inlineStr"/>
      <c r="N85" s="11">
        <f>HYPERLINK("https://mapafrica.afdb.org/en/projects/46002-P-MZ-FD0-003","Open page")</f>
        <v/>
      </c>
      <c r="O85" s="12" t="n"/>
      <c r="P85" s="13" t="n"/>
      <c r="Q85" s="12" t="n"/>
      <c r="R85" s="12" t="n"/>
      <c r="S85" s="12" t="n"/>
      <c r="T85" s="14" t="n"/>
      <c r="U85" s="15" t="inlineStr">
        <is>
          <t>https://mapafrica.afdb.org/en/projects/46002-P-MZ-FD0-003</t>
        </is>
      </c>
      <c r="V85" s="15" t="inlineStr">
        <is>
          <t>2019-11-21</t>
        </is>
      </c>
      <c r="W85" s="15" t="inlineStr">
        <is>
          <t>Mozambique - Mozambique LNG Area 1</t>
        </is>
      </c>
    </row>
    <row r="86">
      <c r="A86" s="8" t="n">
        <v>85</v>
      </c>
      <c r="B86" s="8" t="inlineStr">
        <is>
          <t>AR-085</t>
        </is>
      </c>
      <c r="C86" s="8" t="inlineStr">
        <is>
          <t>B</t>
        </is>
      </c>
      <c r="D86" s="8" t="inlineStr">
        <is>
          <t>top 200 by USD</t>
        </is>
      </c>
      <c r="E86" s="8" t="inlineStr">
        <is>
          <t>DFC</t>
        </is>
      </c>
      <c r="F86" s="8" t="inlineStr">
        <is>
          <t>Redacted</t>
        </is>
      </c>
      <c r="G86" s="8" t="inlineStr">
        <is>
          <t>Undisclosed</t>
        </is>
      </c>
      <c r="H86" s="8" t="n">
        <v>2023</v>
      </c>
      <c r="I86" s="9" t="n">
        <v>814584910.1</v>
      </c>
      <c r="J86" s="8" t="inlineStr">
        <is>
          <t>USD</t>
        </is>
      </c>
      <c r="K86" s="10" t="n">
        <v>814.5849101</v>
      </c>
      <c r="L86" s="8" t="n">
        <v>5</v>
      </c>
      <c r="M86" s="8" t="inlineStr">
        <is>
          <t>DFC withheld the name; there is no public page.</t>
        </is>
      </c>
      <c r="N86" s="8" t="inlineStr">
        <is>
          <t>No link</t>
        </is>
      </c>
      <c r="O86" s="12" t="n"/>
      <c r="P86" s="13" t="n"/>
      <c r="Q86" s="12" t="n"/>
      <c r="R86" s="12" t="n"/>
      <c r="S86" s="12" t="n"/>
      <c r="T86" s="14" t="n"/>
      <c r="U86" s="15" t="inlineStr">
        <is>
          <t>Redacted</t>
        </is>
      </c>
      <c r="V86" s="15" t="n"/>
      <c r="W86" s="15" t="inlineStr">
        <is>
          <t>Redacted</t>
        </is>
      </c>
    </row>
    <row r="87">
      <c r="A87" s="8" t="n">
        <v>86</v>
      </c>
      <c r="B87" s="8" t="inlineStr">
        <is>
          <t>AR-086</t>
        </is>
      </c>
      <c r="C87" s="8" t="inlineStr">
        <is>
          <t>B</t>
        </is>
      </c>
      <c r="D87" s="8" t="inlineStr">
        <is>
          <t>top 200 by USD</t>
        </is>
      </c>
      <c r="E87" s="8" t="inlineStr">
        <is>
          <t>EBRD</t>
        </is>
      </c>
      <c r="F87" s="8" t="inlineStr">
        <is>
          <t>Factoring - National Bank of Greece</t>
        </is>
      </c>
      <c r="G87" s="8" t="inlineStr">
        <is>
          <t>Greece</t>
        </is>
      </c>
      <c r="H87" s="8" t="n">
        <v>2019</v>
      </c>
      <c r="I87" s="9" t="n">
        <v>725000000</v>
      </c>
      <c r="J87" s="8" t="inlineStr">
        <is>
          <t>EUR</t>
        </is>
      </c>
      <c r="K87" s="10" t="n">
        <v>811.619375</v>
      </c>
      <c r="L87" s="8" t="n">
        <v>17</v>
      </c>
      <c r="M87" s="8" t="inlineStr">
        <is>
          <t>Our figure is EBRD's 'Net Cumulative Bank Investment'.</t>
        </is>
      </c>
      <c r="N87" s="11">
        <f>HYPERLINK("https://www.google.com/search?q=site%3Aebrd.com%2Fhome%2Fwork-with-us%2Fprojects%2Fpsd+Factoring+-+National+Bank+of+Greece","Search EBRD")</f>
        <v/>
      </c>
      <c r="O87" s="12" t="n"/>
      <c r="P87" s="13" t="n"/>
      <c r="Q87" s="12" t="n"/>
      <c r="R87" s="12" t="n"/>
      <c r="S87" s="12" t="n"/>
      <c r="T87" s="14" t="n"/>
      <c r="U87" s="15" t="inlineStr">
        <is>
          <t>https://www.ebrd.com/content/dam/ebrd_dxp/assets/pdfs/publications/ebrd-investments-1991-2025.xlsx</t>
        </is>
      </c>
      <c r="V87" s="15" t="inlineStr">
        <is>
          <t>2019-12-19</t>
        </is>
      </c>
      <c r="W87" s="15" t="inlineStr">
        <is>
          <t>Factoring - National Bank of Greece</t>
        </is>
      </c>
    </row>
    <row r="88">
      <c r="A88" s="8" t="n">
        <v>87</v>
      </c>
      <c r="B88" s="8" t="inlineStr">
        <is>
          <t>AR-087</t>
        </is>
      </c>
      <c r="C88" s="8" t="inlineStr">
        <is>
          <t>B</t>
        </is>
      </c>
      <c r="D88" s="8" t="inlineStr">
        <is>
          <t>top 200 by USD</t>
        </is>
      </c>
      <c r="E88" s="8" t="inlineStr">
        <is>
          <t>AfDB</t>
        </is>
      </c>
      <c r="F88" s="8" t="inlineStr">
        <is>
          <t>Tanzania - Tanzania/Burundi/DR Congo Joint Standard Gauge Railway Project Phase II</t>
        </is>
      </c>
      <c r="G88" s="8" t="inlineStr">
        <is>
          <t>Regional — Africa</t>
        </is>
      </c>
      <c r="H88" s="8" t="n">
        <v>2023</v>
      </c>
      <c r="I88" s="9" t="n">
        <v>590410261.3299999</v>
      </c>
      <c r="J88" s="8" t="inlineStr">
        <is>
          <t>XDR</t>
        </is>
      </c>
      <c r="K88" s="10" t="n">
        <v>785.7799688554036</v>
      </c>
      <c r="L88" s="8" t="n">
        <v>13</v>
      </c>
      <c r="M88" s="8" t="inlineStr"/>
      <c r="N88" s="11">
        <f>HYPERLINK("https://mapafrica.afdb.org/en/projects/46002-P-Z1-DC0-041","Open page")</f>
        <v/>
      </c>
      <c r="O88" s="12" t="n"/>
      <c r="P88" s="13" t="n"/>
      <c r="Q88" s="12" t="n"/>
      <c r="R88" s="12" t="n"/>
      <c r="S88" s="12" t="n"/>
      <c r="T88" s="14" t="n"/>
      <c r="U88" s="15" t="inlineStr">
        <is>
          <t>https://mapafrica.afdb.org/en/projects/46002-P-Z1-DC0-041</t>
        </is>
      </c>
      <c r="V88" s="15" t="inlineStr">
        <is>
          <t>2023-12-08</t>
        </is>
      </c>
      <c r="W88" s="15" t="inlineStr">
        <is>
          <t>Tanzania - Tanzania/Burundi/DR Congo Joint Standard Gauge Railway Project Phase II</t>
        </is>
      </c>
    </row>
    <row r="89">
      <c r="A89" s="8" t="n">
        <v>88</v>
      </c>
      <c r="B89" s="8" t="inlineStr">
        <is>
          <t>AR-088</t>
        </is>
      </c>
      <c r="C89" s="8" t="inlineStr">
        <is>
          <t>B</t>
        </is>
      </c>
      <c r="D89" s="8" t="inlineStr">
        <is>
          <t>top 200 by USD</t>
        </is>
      </c>
      <c r="E89" s="8" t="inlineStr">
        <is>
          <t>BII</t>
        </is>
      </c>
      <c r="F89" s="8" t="inlineStr">
        <is>
          <t>Actis Infrastructure 2 LP</t>
        </is>
      </c>
      <c r="G89" s="8" t="inlineStr">
        <is>
          <t>Regional — Global</t>
        </is>
      </c>
      <c r="H89" s="8" t="n">
        <v>2007</v>
      </c>
      <c r="I89" s="9" t="n">
        <v>750000000</v>
      </c>
      <c r="J89" s="8" t="inlineStr">
        <is>
          <t>USD</t>
        </is>
      </c>
      <c r="K89" s="10" t="n">
        <v>750</v>
      </c>
      <c r="L89" s="8" t="n">
        <v>1</v>
      </c>
      <c r="M89" s="8" t="inlineStr"/>
      <c r="N89" s="11">
        <f>HYPERLINK("https://d-portal.org/q.html?aid=GB-COH-03877777-F209601-01","Open page")</f>
        <v/>
      </c>
      <c r="O89" s="12" t="n"/>
      <c r="P89" s="13" t="n"/>
      <c r="Q89" s="12" t="n"/>
      <c r="R89" s="12" t="n"/>
      <c r="S89" s="12" t="n"/>
      <c r="T89" s="14" t="n"/>
      <c r="U89" s="15" t="inlineStr">
        <is>
          <t>https://d-portal.org/q.html?aid=GB-COH-03877777-F209601-01</t>
        </is>
      </c>
      <c r="V89" s="15" t="inlineStr">
        <is>
          <t>2007-09-14</t>
        </is>
      </c>
      <c r="W89" s="15" t="inlineStr">
        <is>
          <t>Actis Infrastructure 2 LP</t>
        </is>
      </c>
    </row>
    <row r="90">
      <c r="A90" s="8" t="n">
        <v>89</v>
      </c>
      <c r="B90" s="8" t="inlineStr">
        <is>
          <t>AR-089</t>
        </is>
      </c>
      <c r="C90" s="8" t="inlineStr">
        <is>
          <t>B</t>
        </is>
      </c>
      <c r="D90" s="8" t="inlineStr">
        <is>
          <t>top 200 by USD</t>
        </is>
      </c>
      <c r="E90" s="8" t="inlineStr">
        <is>
          <t>DFC</t>
        </is>
      </c>
      <c r="F90" s="8" t="inlineStr">
        <is>
          <t>Islamic Republic of Pakistan</t>
        </is>
      </c>
      <c r="G90" s="8" t="inlineStr">
        <is>
          <t>Pakistan</t>
        </is>
      </c>
      <c r="H90" s="8" t="n">
        <v>2004</v>
      </c>
      <c r="I90" s="9" t="n">
        <v>748845354.1</v>
      </c>
      <c r="J90" s="8" t="inlineStr">
        <is>
          <t>USD</t>
        </is>
      </c>
      <c r="K90" s="10" t="n">
        <v>748.8453541</v>
      </c>
      <c r="L90" s="8" t="n">
        <v>6</v>
      </c>
      <c r="M90" s="8" t="inlineStr"/>
      <c r="N90" s="11">
        <f>HYPERLINK("https://www.dfc.gov/sites/default/files/media/documents/FY24%20DFC%20Annual%20Project%20Data_508.xlsx","Open page")</f>
        <v/>
      </c>
      <c r="O90" s="12" t="n"/>
      <c r="P90" s="13" t="n"/>
      <c r="Q90" s="12" t="n"/>
      <c r="R90" s="12" t="n"/>
      <c r="S90" s="12" t="n"/>
      <c r="T90" s="14" t="n"/>
      <c r="U90" s="15" t="inlineStr">
        <is>
          <t>https://www.dfc.gov/sites/default/files/media/documents/FY24%20DFC%20Annual%20Project%20Data_508.xlsx</t>
        </is>
      </c>
      <c r="V90" s="15" t="n"/>
      <c r="W90" s="15" t="inlineStr">
        <is>
          <t>Islamic Republic of Pakistan</t>
        </is>
      </c>
    </row>
    <row r="91">
      <c r="A91" s="8" t="n">
        <v>90</v>
      </c>
      <c r="B91" s="8" t="inlineStr">
        <is>
          <t>AR-090</t>
        </is>
      </c>
      <c r="C91" s="8" t="inlineStr">
        <is>
          <t>B</t>
        </is>
      </c>
      <c r="D91" s="8" t="inlineStr">
        <is>
          <t>top 200 by USD</t>
        </is>
      </c>
      <c r="E91" s="8" t="inlineStr">
        <is>
          <t>DFC</t>
        </is>
      </c>
      <c r="F91" s="8" t="inlineStr">
        <is>
          <t>Blue Bonds for Marine Conservation - Gabon</t>
        </is>
      </c>
      <c r="G91" s="8" t="inlineStr">
        <is>
          <t>Gabon</t>
        </is>
      </c>
      <c r="H91" s="8" t="n">
        <v>2023</v>
      </c>
      <c r="I91" s="9" t="n">
        <v>747789905</v>
      </c>
      <c r="J91" s="8" t="inlineStr">
        <is>
          <t>USD</t>
        </is>
      </c>
      <c r="K91" s="10" t="n">
        <v>747.789905</v>
      </c>
      <c r="L91" s="8" t="n">
        <v>7</v>
      </c>
      <c r="M91" s="8" t="inlineStr"/>
      <c r="N91" s="11">
        <f>HYPERLINK("https://www.dfc.gov/sites/default/files/media/documents/9000093576.pdf","Open page")</f>
        <v/>
      </c>
      <c r="O91" s="12" t="n"/>
      <c r="P91" s="13" t="n"/>
      <c r="Q91" s="12" t="n"/>
      <c r="R91" s="12" t="n"/>
      <c r="S91" s="12" t="n"/>
      <c r="T91" s="14" t="n"/>
      <c r="U91" s="15" t="inlineStr">
        <is>
          <t>https://www.dfc.gov/sites/default/files/media/documents/9000093576.pdf</t>
        </is>
      </c>
      <c r="V91" s="15" t="n"/>
      <c r="W91" s="15" t="inlineStr">
        <is>
          <t>Blue Bonds for Marine Conservation - Gabon</t>
        </is>
      </c>
    </row>
    <row r="92">
      <c r="A92" s="8" t="n">
        <v>91</v>
      </c>
      <c r="B92" s="8" t="inlineStr">
        <is>
          <t>AR-091</t>
        </is>
      </c>
      <c r="C92" s="8" t="inlineStr">
        <is>
          <t>B</t>
        </is>
      </c>
      <c r="D92" s="8" t="inlineStr">
        <is>
          <t>top 200 by USD</t>
        </is>
      </c>
      <c r="E92" s="8" t="inlineStr">
        <is>
          <t>ADB</t>
        </is>
      </c>
      <c r="F92" s="8" t="inlineStr">
        <is>
          <t>Railways Track Electrification Project</t>
        </is>
      </c>
      <c r="G92" s="8" t="inlineStr">
        <is>
          <t>India</t>
        </is>
      </c>
      <c r="H92" s="8" t="n">
        <v>2018</v>
      </c>
      <c r="I92" s="9" t="n">
        <v>50400000000</v>
      </c>
      <c r="J92" s="8" t="inlineStr">
        <is>
          <t>INR</t>
        </is>
      </c>
      <c r="K92" s="10" t="n">
        <v>746.20869196</v>
      </c>
      <c r="L92" s="8" t="n">
        <v>2</v>
      </c>
      <c r="M92" s="8" t="inlineStr">
        <is>
          <t>Loaded in rupees; the description says 'up to $750 million'.</t>
        </is>
      </c>
      <c r="N92" s="11">
        <f>HYPERLINK("https://www.adb.org/projects/51228-001/main","Open page")</f>
        <v/>
      </c>
      <c r="O92" s="12" t="n"/>
      <c r="P92" s="13" t="n"/>
      <c r="Q92" s="12" t="n"/>
      <c r="R92" s="12" t="n"/>
      <c r="S92" s="12" t="n"/>
      <c r="T92" s="14" t="n"/>
      <c r="U92" s="15" t="inlineStr">
        <is>
          <t>https://www.adb.org/projects/51228-001/main</t>
        </is>
      </c>
      <c r="V92" s="15" t="inlineStr">
        <is>
          <t>2018-07-10</t>
        </is>
      </c>
      <c r="W92" s="15" t="inlineStr">
        <is>
          <t>Railways Track Electrification Project</t>
        </is>
      </c>
    </row>
    <row r="93">
      <c r="A93" s="8" t="n">
        <v>92</v>
      </c>
      <c r="B93" s="8" t="inlineStr">
        <is>
          <t>AR-092</t>
        </is>
      </c>
      <c r="C93" s="8" t="inlineStr">
        <is>
          <t>B</t>
        </is>
      </c>
      <c r="D93" s="8" t="inlineStr">
        <is>
          <t>top 200 by USD</t>
        </is>
      </c>
      <c r="E93" s="8" t="inlineStr">
        <is>
          <t>EIB Global</t>
        </is>
      </c>
      <c r="F93" s="8" t="inlineStr">
        <is>
          <t>EGYPT GRID MODERNIZATION AND EXPANSION</t>
        </is>
      </c>
      <c r="G93" s="8" t="inlineStr">
        <is>
          <t>Egypt</t>
        </is>
      </c>
      <c r="H93" s="8" t="n">
        <v>2026</v>
      </c>
      <c r="I93" s="9" t="n">
        <v>600000000</v>
      </c>
      <c r="J93" s="8" t="inlineStr">
        <is>
          <t>EUR</t>
        </is>
      </c>
      <c r="K93" s="10" t="n">
        <v>697.9782</v>
      </c>
      <c r="L93" s="8" t="n">
        <v>3</v>
      </c>
      <c r="M93" s="8" t="inlineStr"/>
      <c r="N93" s="11">
        <f>HYPERLINK("https://www.eib.org/en/projects/loans/all/20250265","Open page")</f>
        <v/>
      </c>
      <c r="O93" s="12" t="n"/>
      <c r="P93" s="13" t="n"/>
      <c r="Q93" s="12" t="n"/>
      <c r="R93" s="12" t="n"/>
      <c r="S93" s="12" t="n"/>
      <c r="T93" s="14" t="n"/>
      <c r="U93" s="15" t="inlineStr">
        <is>
          <t>https://www.eib.org/en/projects/loans/all/20250265</t>
        </is>
      </c>
      <c r="V93" s="15" t="inlineStr">
        <is>
          <t>2026-06-23</t>
        </is>
      </c>
      <c r="W93" s="15" t="inlineStr">
        <is>
          <t>EGYPT GRID MODERNIZATION AND EXPANSION</t>
        </is>
      </c>
    </row>
    <row r="94">
      <c r="A94" s="8" t="n">
        <v>93</v>
      </c>
      <c r="B94" s="8" t="inlineStr">
        <is>
          <t>AR-093</t>
        </is>
      </c>
      <c r="C94" s="8" t="inlineStr">
        <is>
          <t>B</t>
        </is>
      </c>
      <c r="D94" s="8" t="inlineStr">
        <is>
          <t>top 200 by USD</t>
        </is>
      </c>
      <c r="E94" s="8" t="inlineStr">
        <is>
          <t>EIB Global</t>
        </is>
      </c>
      <c r="F94" s="8" t="inlineStr">
        <is>
          <t>BRAZIL CLIMATE CHANGE MITIGATION FL</t>
        </is>
      </c>
      <c r="G94" s="8" t="inlineStr">
        <is>
          <t>Brazil</t>
        </is>
      </c>
      <c r="H94" s="8" t="n">
        <v>2011</v>
      </c>
      <c r="I94" s="9" t="n">
        <v>500000000</v>
      </c>
      <c r="J94" s="8" t="inlineStr">
        <is>
          <t>EUR</t>
        </is>
      </c>
      <c r="K94" s="10" t="n">
        <v>695.9775</v>
      </c>
      <c r="L94" s="8" t="n">
        <v>4</v>
      </c>
      <c r="M94" s="8" t="inlineStr"/>
      <c r="N94" s="11">
        <f>HYPERLINK("https://www.eib.org/en/projects/loans/all/20070360","Open page")</f>
        <v/>
      </c>
      <c r="O94" s="12" t="n"/>
      <c r="P94" s="13" t="n"/>
      <c r="Q94" s="12" t="n"/>
      <c r="R94" s="12" t="n"/>
      <c r="S94" s="12" t="n"/>
      <c r="T94" s="14" t="n"/>
      <c r="U94" s="15" t="inlineStr">
        <is>
          <t>https://www.eib.org/en/projects/loans/all/20070360</t>
        </is>
      </c>
      <c r="V94" s="15" t="inlineStr">
        <is>
          <t>2011-10-04</t>
        </is>
      </c>
      <c r="W94" s="15" t="inlineStr">
        <is>
          <t>BRAZIL CLIMATE CHANGE MITIGATION FL</t>
        </is>
      </c>
    </row>
    <row r="95">
      <c r="A95" s="8" t="n">
        <v>94</v>
      </c>
      <c r="B95" s="8" t="inlineStr">
        <is>
          <t>AR-094</t>
        </is>
      </c>
      <c r="C95" s="8" t="inlineStr">
        <is>
          <t>B</t>
        </is>
      </c>
      <c r="D95" s="8" t="inlineStr">
        <is>
          <t>top 200 by USD</t>
        </is>
      </c>
      <c r="E95" s="8" t="inlineStr">
        <is>
          <t>EIB Global</t>
        </is>
      </c>
      <c r="F95" s="8" t="inlineStr">
        <is>
          <t>URBAN TRANSPORT INFRASTRUCTURE FRAMEWORK EGYPT</t>
        </is>
      </c>
      <c r="G95" s="8" t="inlineStr">
        <is>
          <t>Egypt</t>
        </is>
      </c>
      <c r="H95" s="8" t="n">
        <v>2020</v>
      </c>
      <c r="I95" s="9" t="n">
        <v>600000000</v>
      </c>
      <c r="J95" s="8" t="inlineStr">
        <is>
          <t>EUR</t>
        </is>
      </c>
      <c r="K95" s="10" t="n">
        <v>685.3176</v>
      </c>
      <c r="L95" s="8" t="n">
        <v>5</v>
      </c>
      <c r="M95" s="8" t="inlineStr"/>
      <c r="N95" s="11">
        <f>HYPERLINK("https://www.eib.org/en/projects/loans/all/20200144","Open page")</f>
        <v/>
      </c>
      <c r="O95" s="12" t="n"/>
      <c r="P95" s="13" t="n"/>
      <c r="Q95" s="12" t="n"/>
      <c r="R95" s="12" t="n"/>
      <c r="S95" s="12" t="n"/>
      <c r="T95" s="14" t="n"/>
      <c r="U95" s="15" t="inlineStr">
        <is>
          <t>https://www.eib.org/en/projects/loans/all/20200144</t>
        </is>
      </c>
      <c r="V95" s="15" t="inlineStr">
        <is>
          <t>2020-12-16</t>
        </is>
      </c>
      <c r="W95" s="15" t="inlineStr">
        <is>
          <t>URBAN TRANSPORT INFRASTRUCTURE FRAMEWORK EGYPT</t>
        </is>
      </c>
    </row>
    <row r="96">
      <c r="A96" s="8" t="n">
        <v>95</v>
      </c>
      <c r="B96" s="8" t="inlineStr">
        <is>
          <t>AR-095</t>
        </is>
      </c>
      <c r="C96" s="8" t="inlineStr">
        <is>
          <t>B</t>
        </is>
      </c>
      <c r="D96" s="8" t="inlineStr">
        <is>
          <t>top 200 by USD</t>
        </is>
      </c>
      <c r="E96" s="8" t="inlineStr">
        <is>
          <t>EIB Global</t>
        </is>
      </c>
      <c r="F96" s="8" t="inlineStr">
        <is>
          <t>CHINA CLIMATE CHANGE FRAMEWORK LOAN</t>
        </is>
      </c>
      <c r="G96" s="8" t="inlineStr">
        <is>
          <t>China</t>
        </is>
      </c>
      <c r="H96" s="8" t="n">
        <v>2007</v>
      </c>
      <c r="I96" s="9" t="n">
        <v>500000000</v>
      </c>
      <c r="J96" s="8" t="inlineStr">
        <is>
          <t>EUR</t>
        </is>
      </c>
      <c r="K96" s="10" t="n">
        <v>685.239</v>
      </c>
      <c r="L96" s="8" t="n">
        <v>6</v>
      </c>
      <c r="M96" s="8" t="inlineStr"/>
      <c r="N96" s="11">
        <f>HYPERLINK("https://www.eib.org/en/projects/loans/all/20060086","Open page")</f>
        <v/>
      </c>
      <c r="O96" s="12" t="n"/>
      <c r="P96" s="13" t="n"/>
      <c r="Q96" s="12" t="n"/>
      <c r="R96" s="12" t="n"/>
      <c r="S96" s="12" t="n"/>
      <c r="T96" s="14" t="n"/>
      <c r="U96" s="15" t="inlineStr">
        <is>
          <t>https://www.eib.org/en/projects/loans/all/20060086</t>
        </is>
      </c>
      <c r="V96" s="15" t="inlineStr">
        <is>
          <t>2007-11-27</t>
        </is>
      </c>
      <c r="W96" s="15" t="inlineStr">
        <is>
          <t>CHINA CLIMATE CHANGE FRAMEWORK LOAN</t>
        </is>
      </c>
    </row>
    <row r="97">
      <c r="A97" s="8" t="n">
        <v>96</v>
      </c>
      <c r="B97" s="8" t="inlineStr">
        <is>
          <t>AR-096</t>
        </is>
      </c>
      <c r="C97" s="8" t="inlineStr">
        <is>
          <t>B</t>
        </is>
      </c>
      <c r="D97" s="8" t="inlineStr">
        <is>
          <t>top 200 by USD</t>
        </is>
      </c>
      <c r="E97" s="8" t="inlineStr">
        <is>
          <t>DFC</t>
        </is>
      </c>
      <c r="F97" s="8" t="inlineStr">
        <is>
          <t>Marine Conservation in the Galapagos Islands</t>
        </is>
      </c>
      <c r="G97" s="8" t="inlineStr">
        <is>
          <t>Ecuador</t>
        </is>
      </c>
      <c r="H97" s="8" t="n">
        <v>2022</v>
      </c>
      <c r="I97" s="9" t="n">
        <v>683796331.4400001</v>
      </c>
      <c r="J97" s="8" t="inlineStr">
        <is>
          <t>USD</t>
        </is>
      </c>
      <c r="K97" s="10" t="n">
        <v>683.79633144</v>
      </c>
      <c r="L97" s="8" t="n">
        <v>8</v>
      </c>
      <c r="M97" s="8" t="inlineStr"/>
      <c r="N97" s="11">
        <f>HYPERLINK("https://www.dfc.gov/sites/default/files/media/documents/9000104959_0.pdf","Open page")</f>
        <v/>
      </c>
      <c r="O97" s="12" t="n"/>
      <c r="P97" s="13" t="n"/>
      <c r="Q97" s="12" t="n"/>
      <c r="R97" s="12" t="n"/>
      <c r="S97" s="12" t="n"/>
      <c r="T97" s="14" t="n"/>
      <c r="U97" s="15" t="inlineStr">
        <is>
          <t>https://www.dfc.gov/sites/default/files/media/documents/9000104959_0.pdf</t>
        </is>
      </c>
      <c r="V97" s="15" t="n"/>
      <c r="W97" s="15" t="inlineStr">
        <is>
          <t>Marine Conservation in the Galapagos Islands</t>
        </is>
      </c>
    </row>
    <row r="98">
      <c r="A98" s="8" t="n">
        <v>97</v>
      </c>
      <c r="B98" s="8" t="inlineStr">
        <is>
          <t>AR-097</t>
        </is>
      </c>
      <c r="C98" s="8" t="inlineStr">
        <is>
          <t>B</t>
        </is>
      </c>
      <c r="D98" s="8" t="inlineStr">
        <is>
          <t>top 200 by USD</t>
        </is>
      </c>
      <c r="E98" s="8" t="inlineStr">
        <is>
          <t>AfDB</t>
        </is>
      </c>
      <c r="F98" s="8" t="inlineStr">
        <is>
          <t>Egypt - Financial Sector Reform Programme (FRSP-1)</t>
        </is>
      </c>
      <c r="G98" s="8" t="inlineStr">
        <is>
          <t>Egypt</t>
        </is>
      </c>
      <c r="H98" s="8" t="n">
        <v>2006</v>
      </c>
      <c r="I98" s="9" t="n">
        <v>454366888.12</v>
      </c>
      <c r="J98" s="8" t="inlineStr">
        <is>
          <t>XDR</t>
        </is>
      </c>
      <c r="K98" s="10" t="n">
        <v>670.381085336234</v>
      </c>
      <c r="L98" s="8" t="n">
        <v>14</v>
      </c>
      <c r="M98" s="8" t="inlineStr"/>
      <c r="N98" s="11">
        <f>HYPERLINK("https://mapafrica.afdb.org/en/projects/46002-P-EG-HZ0-001","Open page")</f>
        <v/>
      </c>
      <c r="O98" s="12" t="n"/>
      <c r="P98" s="13" t="n"/>
      <c r="Q98" s="12" t="n"/>
      <c r="R98" s="12" t="n"/>
      <c r="S98" s="12" t="n"/>
      <c r="T98" s="14" t="n"/>
      <c r="U98" s="15" t="inlineStr">
        <is>
          <t>https://mapafrica.afdb.org/en/projects/46002-P-EG-HZ0-001</t>
        </is>
      </c>
      <c r="V98" s="15" t="inlineStr">
        <is>
          <t>2006-07-26</t>
        </is>
      </c>
      <c r="W98" s="15" t="inlineStr">
        <is>
          <t>Egypt - Financial Sector Reform Programme (FRSP-1)</t>
        </is>
      </c>
    </row>
    <row r="99">
      <c r="A99" s="8" t="n">
        <v>98</v>
      </c>
      <c r="B99" s="8" t="inlineStr">
        <is>
          <t>AR-098</t>
        </is>
      </c>
      <c r="C99" s="8" t="inlineStr">
        <is>
          <t>B</t>
        </is>
      </c>
      <c r="D99" s="8" t="inlineStr">
        <is>
          <t>top 200 by USD</t>
        </is>
      </c>
      <c r="E99" s="8" t="inlineStr">
        <is>
          <t>EIB Global</t>
        </is>
      </c>
      <c r="F99" s="8" t="inlineStr">
        <is>
          <t>MEDGAZ PIPELINE</t>
        </is>
      </c>
      <c r="G99" s="8" t="inlineStr">
        <is>
          <t>Algeria</t>
        </is>
      </c>
      <c r="H99" s="8" t="n">
        <v>2010</v>
      </c>
      <c r="I99" s="9" t="n">
        <v>500000000</v>
      </c>
      <c r="J99" s="8" t="inlineStr">
        <is>
          <t>EUR</t>
        </is>
      </c>
      <c r="K99" s="10" t="n">
        <v>662.8585</v>
      </c>
      <c r="L99" s="8" t="n">
        <v>7</v>
      </c>
      <c r="M99" s="8" t="inlineStr"/>
      <c r="N99" s="11">
        <f>HYPERLINK("https://www.eib.org/en/projects/loans/all/20080163","Open page")</f>
        <v/>
      </c>
      <c r="O99" s="12" t="n"/>
      <c r="P99" s="13" t="n"/>
      <c r="Q99" s="12" t="n"/>
      <c r="R99" s="12" t="n"/>
      <c r="S99" s="12" t="n"/>
      <c r="T99" s="14" t="n"/>
      <c r="U99" s="15" t="inlineStr">
        <is>
          <t>https://www.eib.org/en/projects/loans/all/20080163</t>
        </is>
      </c>
      <c r="V99" s="15" t="inlineStr">
        <is>
          <t>2010-11-22</t>
        </is>
      </c>
      <c r="W99" s="15" t="inlineStr">
        <is>
          <t>MEDGAZ PIPELINE</t>
        </is>
      </c>
    </row>
    <row r="100">
      <c r="A100" s="8" t="n">
        <v>99</v>
      </c>
      <c r="B100" s="8" t="inlineStr">
        <is>
          <t>AR-099</t>
        </is>
      </c>
      <c r="C100" s="8" t="inlineStr">
        <is>
          <t>B</t>
        </is>
      </c>
      <c r="D100" s="8" t="inlineStr">
        <is>
          <t>top 200 by USD</t>
        </is>
      </c>
      <c r="E100" s="8" t="inlineStr">
        <is>
          <t>AfDB</t>
        </is>
      </c>
      <c r="F100" s="8" t="inlineStr">
        <is>
          <t>Multinational (Cameroon - Nigeria) - Transport Facilitation Program Corridor - Bamenda-Enugu- (PAGODA Supplemental Grant)</t>
        </is>
      </c>
      <c r="G100" s="8" t="inlineStr">
        <is>
          <t>Regional — Africa</t>
        </is>
      </c>
      <c r="H100" s="8" t="n">
        <v>2008</v>
      </c>
      <c r="I100" s="9" t="n">
        <v>413812075.59</v>
      </c>
      <c r="J100" s="8" t="inlineStr">
        <is>
          <t>XDR</t>
        </is>
      </c>
      <c r="K100" s="10" t="n">
        <v>654.2534439908136</v>
      </c>
      <c r="L100" s="8" t="n">
        <v>15</v>
      </c>
      <c r="M100" s="8" t="inlineStr"/>
      <c r="N100" s="11">
        <f>HYPERLINK("https://mapafrica.afdb.org/en/projects/46002-P-Z1-DB0-023","Open page")</f>
        <v/>
      </c>
      <c r="O100" s="12" t="n"/>
      <c r="P100" s="13" t="n"/>
      <c r="Q100" s="12" t="n"/>
      <c r="R100" s="12" t="n"/>
      <c r="S100" s="12" t="n"/>
      <c r="T100" s="14" t="n"/>
      <c r="U100" s="15" t="inlineStr">
        <is>
          <t>https://mapafrica.afdb.org/en/projects/46002-P-Z1-DB0-023</t>
        </is>
      </c>
      <c r="V100" s="15" t="inlineStr">
        <is>
          <t>2008-11-25</t>
        </is>
      </c>
      <c r="W100" s="15" t="inlineStr">
        <is>
          <t>Multinational (Cameroon - Nigeria) - Transport Facilitation Program Corridor - Bamenda-Enugu- (PAGODA Supplemental Grant)</t>
        </is>
      </c>
    </row>
    <row r="101">
      <c r="A101" s="8" t="n">
        <v>100</v>
      </c>
      <c r="B101" s="8" t="inlineStr">
        <is>
          <t>AR-100</t>
        </is>
      </c>
      <c r="C101" s="8" t="inlineStr">
        <is>
          <t>B</t>
        </is>
      </c>
      <c r="D101" s="8" t="inlineStr">
        <is>
          <t>top 200 by USD</t>
        </is>
      </c>
      <c r="E101" s="8" t="inlineStr">
        <is>
          <t>AfDB</t>
        </is>
      </c>
      <c r="F101" s="8" t="inlineStr">
        <is>
          <t>Multinational - Fragile States Fund Allocation from ADF-11</t>
        </is>
      </c>
      <c r="G101" s="8" t="inlineStr">
        <is>
          <t>Regional — Africa</t>
        </is>
      </c>
      <c r="H101" s="8" t="n">
        <v>2008</v>
      </c>
      <c r="I101" s="9" t="n">
        <v>408430000</v>
      </c>
      <c r="J101" s="8" t="inlineStr">
        <is>
          <t>XDR</t>
        </is>
      </c>
      <c r="K101" s="10" t="n">
        <v>645.7441672</v>
      </c>
      <c r="L101" s="8" t="n">
        <v>16</v>
      </c>
      <c r="M101" s="8" t="inlineStr"/>
      <c r="N101" s="11">
        <f>HYPERLINK("https://mapafrica.afdb.org/en/projects/46002-P-Z1-K00-022","Open page")</f>
        <v/>
      </c>
      <c r="O101" s="12" t="n"/>
      <c r="P101" s="13" t="n"/>
      <c r="Q101" s="12" t="n"/>
      <c r="R101" s="12" t="n"/>
      <c r="S101" s="12" t="n"/>
      <c r="T101" s="14" t="n"/>
      <c r="U101" s="15" t="inlineStr">
        <is>
          <t>https://mapafrica.afdb.org/en/projects/46002-P-Z1-K00-022</t>
        </is>
      </c>
      <c r="V101" s="15" t="inlineStr">
        <is>
          <t>2008-07-17</t>
        </is>
      </c>
      <c r="W101" s="15" t="inlineStr">
        <is>
          <t>Multinational - Fragile States Fund Allocation from ADF-11</t>
        </is>
      </c>
    </row>
    <row r="102">
      <c r="A102" s="8" t="n">
        <v>101</v>
      </c>
      <c r="B102" s="8" t="inlineStr">
        <is>
          <t>AR-101</t>
        </is>
      </c>
      <c r="C102" s="8" t="inlineStr">
        <is>
          <t>B</t>
        </is>
      </c>
      <c r="D102" s="8" t="inlineStr">
        <is>
          <t>top 200 by USD</t>
        </is>
      </c>
      <c r="E102" s="8" t="inlineStr">
        <is>
          <t>EIB Global</t>
        </is>
      </c>
      <c r="F102" s="8" t="inlineStr">
        <is>
          <t>URBAN TRANSPORT INFRASTRUCTURE FRAMEWORK EGYPT</t>
        </is>
      </c>
      <c r="G102" s="8" t="inlineStr">
        <is>
          <t>Egypt</t>
        </is>
      </c>
      <c r="H102" s="8" t="n">
        <v>2021</v>
      </c>
      <c r="I102" s="9" t="n">
        <v>528000000</v>
      </c>
      <c r="J102" s="8" t="inlineStr">
        <is>
          <t>EUR</t>
        </is>
      </c>
      <c r="K102" s="10" t="n">
        <v>624.48672</v>
      </c>
      <c r="L102" s="8" t="n">
        <v>8</v>
      </c>
      <c r="M102" s="8" t="inlineStr"/>
      <c r="N102" s="11">
        <f>HYPERLINK("https://www.eib.org/en/projects/loans/all/20200144","Open page")</f>
        <v/>
      </c>
      <c r="O102" s="12" t="n"/>
      <c r="P102" s="13" t="n"/>
      <c r="Q102" s="12" t="n"/>
      <c r="R102" s="12" t="n"/>
      <c r="S102" s="12" t="n"/>
      <c r="T102" s="14" t="n"/>
      <c r="U102" s="15" t="inlineStr">
        <is>
          <t>https://www.eib.org/en/projects/loans/all/20200144</t>
        </is>
      </c>
      <c r="V102" s="15" t="inlineStr">
        <is>
          <t>2021-05-24</t>
        </is>
      </c>
      <c r="W102" s="15" t="inlineStr">
        <is>
          <t>URBAN TRANSPORT INFRASTRUCTURE FRAMEWORK EGYPT</t>
        </is>
      </c>
    </row>
    <row r="103">
      <c r="A103" s="8" t="n">
        <v>102</v>
      </c>
      <c r="B103" s="8" t="inlineStr">
        <is>
          <t>AR-102</t>
        </is>
      </c>
      <c r="C103" s="8" t="inlineStr">
        <is>
          <t>B</t>
        </is>
      </c>
      <c r="D103" s="8" t="inlineStr">
        <is>
          <t>top 200 by USD</t>
        </is>
      </c>
      <c r="E103" s="8" t="inlineStr">
        <is>
          <t>EIB Global</t>
        </is>
      </c>
      <c r="F103" s="8" t="inlineStr">
        <is>
          <t>BEIJING AIRPORT EXPANSION</t>
        </is>
      </c>
      <c r="G103" s="8" t="inlineStr">
        <is>
          <t>China</t>
        </is>
      </c>
      <c r="H103" s="8" t="n">
        <v>2005</v>
      </c>
      <c r="I103" s="9" t="n">
        <v>500000000</v>
      </c>
      <c r="J103" s="8" t="inlineStr">
        <is>
          <t>EUR</t>
        </is>
      </c>
      <c r="K103" s="10" t="n">
        <v>622.045</v>
      </c>
      <c r="L103" s="8" t="n">
        <v>9</v>
      </c>
      <c r="M103" s="8" t="inlineStr"/>
      <c r="N103" s="11">
        <f>HYPERLINK("https://www.eib.org/en/projects/loans/all/20040412","Open page")</f>
        <v/>
      </c>
      <c r="O103" s="12" t="n"/>
      <c r="P103" s="13" t="n"/>
      <c r="Q103" s="12" t="n"/>
      <c r="R103" s="12" t="n"/>
      <c r="S103" s="12" t="n"/>
      <c r="T103" s="14" t="n"/>
      <c r="U103" s="15" t="inlineStr">
        <is>
          <t>https://www.eib.org/en/projects/loans/all/20040412</t>
        </is>
      </c>
      <c r="V103" s="15" t="inlineStr">
        <is>
          <t>2005-09-04</t>
        </is>
      </c>
      <c r="W103" s="15" t="inlineStr">
        <is>
          <t>BEIJING AIRPORT EXPANSION</t>
        </is>
      </c>
    </row>
    <row r="104">
      <c r="A104" s="8" t="n">
        <v>103</v>
      </c>
      <c r="B104" s="8" t="inlineStr">
        <is>
          <t>AR-103</t>
        </is>
      </c>
      <c r="C104" s="8" t="inlineStr">
        <is>
          <t>B</t>
        </is>
      </c>
      <c r="D104" s="8" t="inlineStr">
        <is>
          <t>top 200 by USD</t>
        </is>
      </c>
      <c r="E104" s="8" t="inlineStr">
        <is>
          <t>EIB Global</t>
        </is>
      </c>
      <c r="F104" s="8" t="inlineStr">
        <is>
          <t>DAMANHOUR CCGT POWER PLANT</t>
        </is>
      </c>
      <c r="G104" s="8" t="inlineStr">
        <is>
          <t>Egypt</t>
        </is>
      </c>
      <c r="H104" s="8" t="n">
        <v>2015</v>
      </c>
      <c r="I104" s="9" t="n">
        <v>550357733</v>
      </c>
      <c r="J104" s="8" t="inlineStr">
        <is>
          <t>EUR</t>
        </is>
      </c>
      <c r="K104" s="10" t="n">
        <v>610.629059414029</v>
      </c>
      <c r="L104" s="8" t="n">
        <v>10</v>
      </c>
      <c r="M104" s="8" t="inlineStr"/>
      <c r="N104" s="11">
        <f>HYPERLINK("https://www.eib.org/en/projects/loans/all/20140534","Open page")</f>
        <v/>
      </c>
      <c r="O104" s="12" t="n"/>
      <c r="P104" s="13" t="n"/>
      <c r="Q104" s="12" t="n"/>
      <c r="R104" s="12" t="n"/>
      <c r="S104" s="12" t="n"/>
      <c r="T104" s="14" t="n"/>
      <c r="U104" s="15" t="inlineStr">
        <is>
          <t>https://www.eib.org/en/projects/loans/all/20140534</t>
        </is>
      </c>
      <c r="V104" s="15" t="inlineStr">
        <is>
          <t>2015-12-05</t>
        </is>
      </c>
      <c r="W104" s="15" t="inlineStr">
        <is>
          <t>DAMANHOUR CCGT POWER PLANT</t>
        </is>
      </c>
    </row>
    <row r="105">
      <c r="A105" s="8" t="n">
        <v>104</v>
      </c>
      <c r="B105" s="8" t="inlineStr">
        <is>
          <t>AR-104</t>
        </is>
      </c>
      <c r="C105" s="8" t="inlineStr">
        <is>
          <t>B</t>
        </is>
      </c>
      <c r="D105" s="8" t="inlineStr">
        <is>
          <t>top 200 by USD</t>
        </is>
      </c>
      <c r="E105" s="8" t="inlineStr">
        <is>
          <t>AfDB</t>
        </is>
      </c>
      <c r="F105" s="8" t="inlineStr">
        <is>
          <t>Nigeria - Economic Governance, Diversification and Competitiveness Support Program</t>
        </is>
      </c>
      <c r="G105" s="8" t="inlineStr">
        <is>
          <t>Nigeria</t>
        </is>
      </c>
      <c r="H105" s="8" t="n">
        <v>2016</v>
      </c>
      <c r="I105" s="9" t="n">
        <v>436754332.97</v>
      </c>
      <c r="J105" s="8" t="inlineStr">
        <is>
          <t>XDR</t>
        </is>
      </c>
      <c r="K105" s="10" t="n">
        <v>606.0774365474745</v>
      </c>
      <c r="L105" s="8" t="n">
        <v>17</v>
      </c>
      <c r="M105" s="8" t="inlineStr"/>
      <c r="N105" s="11">
        <f>HYPERLINK("https://mapafrica.afdb.org/en/projects/46002-P-NG-KA0-002","Open page")</f>
        <v/>
      </c>
      <c r="O105" s="12" t="n"/>
      <c r="P105" s="13" t="n"/>
      <c r="Q105" s="12" t="n"/>
      <c r="R105" s="12" t="n"/>
      <c r="S105" s="12" t="n"/>
      <c r="T105" s="14" t="n"/>
      <c r="U105" s="15" t="inlineStr">
        <is>
          <t>https://mapafrica.afdb.org/en/projects/46002-P-NG-KA0-002</t>
        </is>
      </c>
      <c r="V105" s="15" t="inlineStr">
        <is>
          <t>2016-11-02</t>
        </is>
      </c>
      <c r="W105" s="15" t="inlineStr">
        <is>
          <t>Nigeria - Economic Governance, Diversification and Competitiveness Support Program</t>
        </is>
      </c>
    </row>
    <row r="106">
      <c r="A106" s="8" t="n">
        <v>105</v>
      </c>
      <c r="B106" s="8" t="inlineStr">
        <is>
          <t>AR-105</t>
        </is>
      </c>
      <c r="C106" s="8" t="inlineStr">
        <is>
          <t>B</t>
        </is>
      </c>
      <c r="D106" s="8" t="inlineStr">
        <is>
          <t>top 200 by USD</t>
        </is>
      </c>
      <c r="E106" s="8" t="inlineStr">
        <is>
          <t>AfDB</t>
        </is>
      </c>
      <c r="F106" s="8" t="inlineStr">
        <is>
          <t>Zambia – Support Loan for the Grid Resilience Programme</t>
        </is>
      </c>
      <c r="G106" s="8" t="inlineStr">
        <is>
          <t>Zambia</t>
        </is>
      </c>
      <c r="H106" s="8" t="n">
        <v>2026</v>
      </c>
      <c r="I106" s="9" t="n">
        <v>438788942.52</v>
      </c>
      <c r="J106" s="8" t="inlineStr">
        <is>
          <t>XDR</t>
        </is>
      </c>
      <c r="K106" s="10" t="n">
        <v>597.798595877225</v>
      </c>
      <c r="L106" s="8" t="n">
        <v>18</v>
      </c>
      <c r="M106" s="8" t="inlineStr"/>
      <c r="N106" s="11">
        <f>HYPERLINK("https://mapafrica.afdb.org/en/projects/46002-P-ZM-H00-006","Open page")</f>
        <v/>
      </c>
      <c r="O106" s="12" t="n"/>
      <c r="P106" s="13" t="n"/>
      <c r="Q106" s="12" t="n"/>
      <c r="R106" s="12" t="n"/>
      <c r="S106" s="12" t="n"/>
      <c r="T106" s="14" t="n"/>
      <c r="U106" s="15" t="inlineStr">
        <is>
          <t>https://mapafrica.afdb.org/en/projects/46002-P-ZM-H00-006</t>
        </is>
      </c>
      <c r="V106" s="15" t="inlineStr">
        <is>
          <t>2026-05-26</t>
        </is>
      </c>
      <c r="W106" s="15" t="inlineStr">
        <is>
          <t>Zambia – Support Loan for the Grid Resilience Programme</t>
        </is>
      </c>
    </row>
    <row r="107">
      <c r="A107" s="8" t="n">
        <v>106</v>
      </c>
      <c r="B107" s="8" t="inlineStr">
        <is>
          <t>AR-106</t>
        </is>
      </c>
      <c r="C107" s="8" t="inlineStr">
        <is>
          <t>B</t>
        </is>
      </c>
      <c r="D107" s="8" t="inlineStr">
        <is>
          <t>top 200 by USD</t>
        </is>
      </c>
      <c r="E107" s="8" t="inlineStr">
        <is>
          <t>EBRD</t>
        </is>
      </c>
      <c r="F107" s="8" t="inlineStr">
        <is>
          <t>RZD</t>
        </is>
      </c>
      <c r="G107" s="8" t="inlineStr">
        <is>
          <t>Russia</t>
        </is>
      </c>
      <c r="H107" s="8" t="n">
        <v>2009</v>
      </c>
      <c r="I107" s="9" t="n">
        <v>425876240.36</v>
      </c>
      <c r="J107" s="8" t="inlineStr">
        <is>
          <t>EUR</t>
        </is>
      </c>
      <c r="K107" s="10" t="n">
        <v>594.0045142818016</v>
      </c>
      <c r="L107" s="8" t="n">
        <v>23</v>
      </c>
      <c r="M107" s="8" t="inlineStr">
        <is>
          <t>Our figure is EBRD's 'Net Cumulative Bank Investment'.</t>
        </is>
      </c>
      <c r="N107" s="11">
        <f>HYPERLINK("https://www.google.com/search?q=site%3Aebrd.com%2Fhome%2Fwork-with-us%2Fprojects%2Fpsd+RZD","Search EBRD")</f>
        <v/>
      </c>
      <c r="O107" s="12" t="n"/>
      <c r="P107" s="13" t="n"/>
      <c r="Q107" s="12" t="n"/>
      <c r="R107" s="12" t="n"/>
      <c r="S107" s="12" t="n"/>
      <c r="T107" s="14" t="n"/>
      <c r="U107" s="15" t="inlineStr">
        <is>
          <t>https://www.ebrd.com/content/dam/ebrd_dxp/assets/pdfs/publications/ebrd-investments-1991-2025.xlsx</t>
        </is>
      </c>
      <c r="V107" s="15" t="inlineStr">
        <is>
          <t>2009-07-15</t>
        </is>
      </c>
      <c r="W107" s="15" t="inlineStr">
        <is>
          <t>RZD</t>
        </is>
      </c>
    </row>
    <row r="108">
      <c r="A108" s="8" t="n">
        <v>107</v>
      </c>
      <c r="B108" s="8" t="inlineStr">
        <is>
          <t>AR-107</t>
        </is>
      </c>
      <c r="C108" s="8" t="inlineStr">
        <is>
          <t>B</t>
        </is>
      </c>
      <c r="D108" s="8" t="inlineStr">
        <is>
          <t>top 200 by USD</t>
        </is>
      </c>
      <c r="E108" s="8" t="inlineStr">
        <is>
          <t>DFC</t>
        </is>
      </c>
      <c r="F108" s="8" t="inlineStr">
        <is>
          <t>Blue Bonds for Marine Conservation - Belize</t>
        </is>
      </c>
      <c r="G108" s="8" t="inlineStr">
        <is>
          <t>Belize</t>
        </is>
      </c>
      <c r="H108" s="8" t="n">
        <v>2021</v>
      </c>
      <c r="I108" s="9" t="n">
        <v>590456663.6799999</v>
      </c>
      <c r="J108" s="8" t="inlineStr">
        <is>
          <t>USD</t>
        </is>
      </c>
      <c r="K108" s="10" t="n">
        <v>590.4566636799999</v>
      </c>
      <c r="L108" s="8" t="n">
        <v>9</v>
      </c>
      <c r="M108" s="8" t="inlineStr"/>
      <c r="N108" s="11">
        <f>HYPERLINK("https://www.dfc.gov/sites/default/files/media/documents/9000104526_0.pdf","Open page")</f>
        <v/>
      </c>
      <c r="O108" s="12" t="n"/>
      <c r="P108" s="13" t="n"/>
      <c r="Q108" s="12" t="n"/>
      <c r="R108" s="12" t="n"/>
      <c r="S108" s="12" t="n"/>
      <c r="T108" s="14" t="n"/>
      <c r="U108" s="15" t="inlineStr">
        <is>
          <t>https://www.dfc.gov/sites/default/files/media/documents/9000104526_0.pdf</t>
        </is>
      </c>
      <c r="V108" s="15" t="n"/>
      <c r="W108" s="15" t="inlineStr">
        <is>
          <t>Blue Bonds for Marine Conservation - Belize</t>
        </is>
      </c>
    </row>
    <row r="109">
      <c r="A109" s="8" t="n">
        <v>108</v>
      </c>
      <c r="B109" s="8" t="inlineStr">
        <is>
          <t>AR-108</t>
        </is>
      </c>
      <c r="C109" s="8" t="inlineStr">
        <is>
          <t>B</t>
        </is>
      </c>
      <c r="D109" s="8" t="inlineStr">
        <is>
          <t>top 200 by USD</t>
        </is>
      </c>
      <c r="E109" s="8" t="inlineStr">
        <is>
          <t>AfDB</t>
        </is>
      </c>
      <c r="F109" s="8" t="inlineStr">
        <is>
          <t>Tunisia - Governance and Inclusive Development Support Programme</t>
        </is>
      </c>
      <c r="G109" s="8" t="inlineStr">
        <is>
          <t>Tunisia</t>
        </is>
      </c>
      <c r="H109" s="8" t="n">
        <v>2011</v>
      </c>
      <c r="I109" s="9" t="n">
        <v>368625542.8</v>
      </c>
      <c r="J109" s="8" t="inlineStr">
        <is>
          <t>XDR</t>
        </is>
      </c>
      <c r="K109" s="10" t="n">
        <v>580.7407898890617</v>
      </c>
      <c r="L109" s="8" t="n">
        <v>19</v>
      </c>
      <c r="M109" s="8" t="inlineStr"/>
      <c r="N109" s="11">
        <f>HYPERLINK("https://mapafrica.afdb.org/en/projects/46002-P-TN-IZ0-001","Open page")</f>
        <v/>
      </c>
      <c r="O109" s="12" t="n"/>
      <c r="P109" s="13" t="n"/>
      <c r="Q109" s="12" t="n"/>
      <c r="R109" s="12" t="n"/>
      <c r="S109" s="12" t="n"/>
      <c r="T109" s="14" t="n"/>
      <c r="U109" s="15" t="inlineStr">
        <is>
          <t>https://mapafrica.afdb.org/en/projects/46002-P-TN-IZ0-001</t>
        </is>
      </c>
      <c r="V109" s="15" t="inlineStr">
        <is>
          <t>2011-05-30</t>
        </is>
      </c>
      <c r="W109" s="15" t="inlineStr">
        <is>
          <t>Tunisia - Governance and Inclusive Development Support Programme</t>
        </is>
      </c>
    </row>
    <row r="110">
      <c r="A110" s="8" t="n">
        <v>109</v>
      </c>
      <c r="B110" s="8" t="inlineStr">
        <is>
          <t>AR-109</t>
        </is>
      </c>
      <c r="C110" s="8" t="inlineStr">
        <is>
          <t>B</t>
        </is>
      </c>
      <c r="D110" s="8" t="inlineStr">
        <is>
          <t>top 200 by USD</t>
        </is>
      </c>
      <c r="E110" s="8" t="inlineStr">
        <is>
          <t>EIB Global</t>
        </is>
      </c>
      <c r="F110" s="8" t="inlineStr">
        <is>
          <t>SERBIA CORRIDOR X RAILWAYS FL - GLOBAL GATEWAY</t>
        </is>
      </c>
      <c r="G110" s="8" t="inlineStr">
        <is>
          <t>Serbia</t>
        </is>
      </c>
      <c r="H110" s="8" t="n">
        <v>2022</v>
      </c>
      <c r="I110" s="9" t="n">
        <v>550000000</v>
      </c>
      <c r="J110" s="8" t="inlineStr">
        <is>
          <t>EUR</t>
        </is>
      </c>
      <c r="K110" s="10" t="n">
        <v>579.17695</v>
      </c>
      <c r="L110" s="8" t="n">
        <v>11</v>
      </c>
      <c r="M110" s="8" t="inlineStr"/>
      <c r="N110" s="11">
        <f>HYPERLINK("https://www.eib.org/en/projects/loans/all/20210445","Open page")</f>
        <v/>
      </c>
      <c r="O110" s="12" t="n"/>
      <c r="P110" s="13" t="n"/>
      <c r="Q110" s="12" t="n"/>
      <c r="R110" s="12" t="n"/>
      <c r="S110" s="12" t="n"/>
      <c r="T110" s="14" t="n"/>
      <c r="U110" s="15" t="inlineStr">
        <is>
          <t>https://www.eib.org/en/projects/loans/all/20210445</t>
        </is>
      </c>
      <c r="V110" s="15" t="inlineStr">
        <is>
          <t>2022-12-15</t>
        </is>
      </c>
      <c r="W110" s="15" t="inlineStr">
        <is>
          <t>SERBIA CORRIDOR X RAILWAYS FL - GLOBAL GATEWAY</t>
        </is>
      </c>
    </row>
    <row r="111">
      <c r="A111" s="8" t="n">
        <v>110</v>
      </c>
      <c r="B111" s="8" t="inlineStr">
        <is>
          <t>AR-110</t>
        </is>
      </c>
      <c r="C111" s="8" t="inlineStr">
        <is>
          <t>B</t>
        </is>
      </c>
      <c r="D111" s="8" t="inlineStr">
        <is>
          <t>top 200 by USD</t>
        </is>
      </c>
      <c r="E111" s="8" t="inlineStr">
        <is>
          <t>EBRD</t>
        </is>
      </c>
      <c r="F111" s="8" t="inlineStr">
        <is>
          <t>Pan-European Corridors</t>
        </is>
      </c>
      <c r="G111" s="8" t="inlineStr">
        <is>
          <t>Ukraine</t>
        </is>
      </c>
      <c r="H111" s="8" t="n">
        <v>2010</v>
      </c>
      <c r="I111" s="9" t="n">
        <v>428232194.72</v>
      </c>
      <c r="J111" s="8" t="inlineStr">
        <is>
          <t>EUR</t>
        </is>
      </c>
      <c r="K111" s="10" t="n">
        <v>567.7147004876143</v>
      </c>
      <c r="L111" s="8" t="n">
        <v>26</v>
      </c>
      <c r="M111" s="8" t="inlineStr">
        <is>
          <t>Our figure is EBRD's 'Net Cumulative Bank Investment'.</t>
        </is>
      </c>
      <c r="N111" s="11">
        <f>HYPERLINK("https://www.google.com/search?q=site%3Aebrd.com%2Fhome%2Fwork-with-us%2Fprojects%2Fpsd+Pan-European+Corridors","Search EBRD")</f>
        <v/>
      </c>
      <c r="O111" s="12" t="n"/>
      <c r="P111" s="13" t="n"/>
      <c r="Q111" s="12" t="n"/>
      <c r="R111" s="12" t="n"/>
      <c r="S111" s="12" t="n"/>
      <c r="T111" s="14" t="n"/>
      <c r="U111" s="15" t="inlineStr">
        <is>
          <t>https://www.ebrd.com/content/dam/ebrd_dxp/assets/pdfs/publications/ebrd-investments-1991-2025.xlsx</t>
        </is>
      </c>
      <c r="V111" s="15" t="inlineStr">
        <is>
          <t>2010-11-26</t>
        </is>
      </c>
      <c r="W111" s="15" t="inlineStr">
        <is>
          <t>Pan-European Corridors</t>
        </is>
      </c>
    </row>
    <row r="112">
      <c r="A112" s="8" t="n">
        <v>111</v>
      </c>
      <c r="B112" s="8" t="inlineStr">
        <is>
          <t>AR-111</t>
        </is>
      </c>
      <c r="C112" s="8" t="inlineStr">
        <is>
          <t>B</t>
        </is>
      </c>
      <c r="D112" s="8" t="inlineStr">
        <is>
          <t>top 200 by USD</t>
        </is>
      </c>
      <c r="E112" s="8" t="inlineStr">
        <is>
          <t>EBRD</t>
        </is>
      </c>
      <c r="F112" s="8" t="inlineStr">
        <is>
          <t>NAK Emergency Gas Finance (NAK IV)</t>
        </is>
      </c>
      <c r="G112" s="8" t="inlineStr">
        <is>
          <t>Ukraine</t>
        </is>
      </c>
      <c r="H112" s="8" t="n">
        <v>2025</v>
      </c>
      <c r="I112" s="9" t="n">
        <v>500000000</v>
      </c>
      <c r="J112" s="8" t="inlineStr">
        <is>
          <t>EUR</t>
        </is>
      </c>
      <c r="K112" s="10" t="n">
        <v>564.9915</v>
      </c>
      <c r="L112" s="8" t="n">
        <v>27</v>
      </c>
      <c r="M112" s="8" t="inlineStr">
        <is>
          <t>Our figure is EBRD's 'Net Cumulative Bank Investment'.</t>
        </is>
      </c>
      <c r="N112" s="11">
        <f>HYPERLINK("https://www.google.com/search?q=site%3Aebrd.com%2Fhome%2Fwork-with-us%2Fprojects%2Fpsd+NAK+Emergency+Gas+Finance+%28NAK+IV%29","Search EBRD")</f>
        <v/>
      </c>
      <c r="O112" s="12" t="n"/>
      <c r="P112" s="13" t="n"/>
      <c r="Q112" s="12" t="n"/>
      <c r="R112" s="12" t="n"/>
      <c r="S112" s="12" t="n"/>
      <c r="T112" s="14" t="n"/>
      <c r="U112" s="15" t="inlineStr">
        <is>
          <t>https://www.ebrd.com/content/dam/ebrd_dxp/assets/pdfs/publications/ebrd-investments-1991-2025.xlsx</t>
        </is>
      </c>
      <c r="V112" s="15" t="inlineStr">
        <is>
          <t>2025-08-12</t>
        </is>
      </c>
      <c r="W112" s="15" t="inlineStr">
        <is>
          <t>NAK Emergency Gas Finance (NAK IV)</t>
        </is>
      </c>
    </row>
    <row r="113">
      <c r="A113" s="8" t="n">
        <v>112</v>
      </c>
      <c r="B113" s="8" t="inlineStr">
        <is>
          <t>AR-112</t>
        </is>
      </c>
      <c r="C113" s="8" t="inlineStr">
        <is>
          <t>B</t>
        </is>
      </c>
      <c r="D113" s="8" t="inlineStr">
        <is>
          <t>top 200 by USD</t>
        </is>
      </c>
      <c r="E113" s="8" t="inlineStr">
        <is>
          <t>AfDB</t>
        </is>
      </c>
      <c r="F113" s="8" t="inlineStr">
        <is>
          <t>South Africa - Eskom Holdings Limited</t>
        </is>
      </c>
      <c r="G113" s="8" t="inlineStr">
        <is>
          <t>South Africa</t>
        </is>
      </c>
      <c r="H113" s="8" t="n">
        <v>2007</v>
      </c>
      <c r="I113" s="9" t="n">
        <v>365416940.73</v>
      </c>
      <c r="J113" s="8" t="inlineStr">
        <is>
          <t>XDR</t>
        </is>
      </c>
      <c r="K113" s="10" t="n">
        <v>560.3745523652103</v>
      </c>
      <c r="L113" s="8" t="n">
        <v>20</v>
      </c>
      <c r="M113" s="8" t="inlineStr"/>
      <c r="N113" s="11">
        <f>HYPERLINK("https://mapafrica.afdb.org/en/projects/46002-P-ZA-F00-001","Open page")</f>
        <v/>
      </c>
      <c r="O113" s="12" t="n"/>
      <c r="P113" s="13" t="n"/>
      <c r="Q113" s="12" t="n"/>
      <c r="R113" s="12" t="n"/>
      <c r="S113" s="12" t="n"/>
      <c r="T113" s="14" t="n"/>
      <c r="U113" s="15" t="inlineStr">
        <is>
          <t>https://mapafrica.afdb.org/en/projects/46002-P-ZA-F00-001</t>
        </is>
      </c>
      <c r="V113" s="15" t="inlineStr">
        <is>
          <t>2007-06-28</t>
        </is>
      </c>
      <c r="W113" s="15" t="inlineStr">
        <is>
          <t>South Africa - Eskom Holdings Limited</t>
        </is>
      </c>
    </row>
    <row r="114">
      <c r="A114" s="8" t="n">
        <v>113</v>
      </c>
      <c r="B114" s="8" t="inlineStr">
        <is>
          <t>AR-113</t>
        </is>
      </c>
      <c r="C114" s="8" t="inlineStr">
        <is>
          <t>B</t>
        </is>
      </c>
      <c r="D114" s="8" t="inlineStr">
        <is>
          <t>top 200 by USD</t>
        </is>
      </c>
      <c r="E114" s="8" t="inlineStr">
        <is>
          <t>AfDB</t>
        </is>
      </c>
      <c r="F114" s="8" t="inlineStr">
        <is>
          <t>Democratic Republic of Congo - Arrears Clearance Project - Phase 3</t>
        </is>
      </c>
      <c r="G114" s="8" t="inlineStr">
        <is>
          <t>DR Congo</t>
        </is>
      </c>
      <c r="H114" s="8" t="n">
        <v>2002</v>
      </c>
      <c r="I114" s="9" t="n">
        <v>392705064.31</v>
      </c>
      <c r="J114" s="8" t="inlineStr">
        <is>
          <t>XDR</t>
        </is>
      </c>
      <c r="K114" s="10" t="n">
        <v>560.1552891419126</v>
      </c>
      <c r="L114" s="8" t="n">
        <v>21</v>
      </c>
      <c r="M114" s="8" t="inlineStr"/>
      <c r="N114" s="11">
        <f>HYPERLINK("https://mapafrica.afdb.org/en/projects/46002-P-CD-KZ0-003","Open page")</f>
        <v/>
      </c>
      <c r="O114" s="12" t="n"/>
      <c r="P114" s="13" t="n"/>
      <c r="Q114" s="12" t="n"/>
      <c r="R114" s="12" t="n"/>
      <c r="S114" s="12" t="n"/>
      <c r="T114" s="14" t="n"/>
      <c r="U114" s="15" t="inlineStr">
        <is>
          <t>https://mapafrica.afdb.org/en/projects/46002-P-CD-KZ0-003</t>
        </is>
      </c>
      <c r="V114" s="15" t="inlineStr">
        <is>
          <t>2002-06-26</t>
        </is>
      </c>
      <c r="W114" s="15" t="inlineStr">
        <is>
          <t>Democratic Republic of Congo - Arrears Clearance Project - Phase 3</t>
        </is>
      </c>
    </row>
    <row r="115">
      <c r="A115" s="8" t="n">
        <v>114</v>
      </c>
      <c r="B115" s="8" t="inlineStr">
        <is>
          <t>AR-114</t>
        </is>
      </c>
      <c r="C115" s="8" t="inlineStr">
        <is>
          <t>B</t>
        </is>
      </c>
      <c r="D115" s="8" t="inlineStr">
        <is>
          <t>top 200 by USD</t>
        </is>
      </c>
      <c r="E115" s="8" t="inlineStr">
        <is>
          <t>EIB Global</t>
        </is>
      </c>
      <c r="F115" s="8" t="inlineStr">
        <is>
          <t>BOSPHORUS TUNNEL</t>
        </is>
      </c>
      <c r="G115" s="8" t="inlineStr">
        <is>
          <t>Türkiye</t>
        </is>
      </c>
      <c r="H115" s="8" t="n">
        <v>2005</v>
      </c>
      <c r="I115" s="9" t="n">
        <v>450000000</v>
      </c>
      <c r="J115" s="8" t="inlineStr">
        <is>
          <t>EUR</t>
        </is>
      </c>
      <c r="K115" s="10" t="n">
        <v>559.8405</v>
      </c>
      <c r="L115" s="8" t="n">
        <v>12</v>
      </c>
      <c r="M115" s="8" t="inlineStr"/>
      <c r="N115" s="11">
        <f>HYPERLINK("https://www.eib.org/en/projects/loans/all/19990272","Open page")</f>
        <v/>
      </c>
      <c r="O115" s="12" t="n"/>
      <c r="P115" s="13" t="n"/>
      <c r="Q115" s="12" t="n"/>
      <c r="R115" s="12" t="n"/>
      <c r="S115" s="12" t="n"/>
      <c r="T115" s="14" t="n"/>
      <c r="U115" s="15" t="inlineStr">
        <is>
          <t>https://www.eib.org/en/projects/loans/all/19990272</t>
        </is>
      </c>
      <c r="V115" s="15" t="inlineStr">
        <is>
          <t>2005-12-08</t>
        </is>
      </c>
      <c r="W115" s="15" t="inlineStr">
        <is>
          <t>BOSPHORUS TUNNEL</t>
        </is>
      </c>
    </row>
    <row r="116">
      <c r="A116" s="8" t="n">
        <v>115</v>
      </c>
      <c r="B116" s="8" t="inlineStr">
        <is>
          <t>AR-115</t>
        </is>
      </c>
      <c r="C116" s="8" t="inlineStr">
        <is>
          <t>B</t>
        </is>
      </c>
      <c r="D116" s="8" t="inlineStr">
        <is>
          <t>top 200 by USD</t>
        </is>
      </c>
      <c r="E116" s="8" t="inlineStr">
        <is>
          <t>EIB Global</t>
        </is>
      </c>
      <c r="F116" s="8" t="inlineStr">
        <is>
          <t>BANQUE MISR LOAN FOR SMES AND MIDCAPS II</t>
        </is>
      </c>
      <c r="G116" s="8" t="inlineStr">
        <is>
          <t>Egypt</t>
        </is>
      </c>
      <c r="H116" s="8" t="n">
        <v>2019</v>
      </c>
      <c r="I116" s="9" t="n">
        <v>500000000</v>
      </c>
      <c r="J116" s="8" t="inlineStr">
        <is>
          <t>EUR</t>
        </is>
      </c>
      <c r="K116" s="10" t="n">
        <v>559.7375</v>
      </c>
      <c r="L116" s="8" t="n">
        <v>13</v>
      </c>
      <c r="M116" s="8" t="inlineStr"/>
      <c r="N116" s="11">
        <f>HYPERLINK("https://www.eib.org/en/projects/loans/all/20190203","Open page")</f>
        <v/>
      </c>
      <c r="O116" s="12" t="n"/>
      <c r="P116" s="13" t="n"/>
      <c r="Q116" s="12" t="n"/>
      <c r="R116" s="12" t="n"/>
      <c r="S116" s="12" t="n"/>
      <c r="T116" s="14" t="n"/>
      <c r="U116" s="15" t="inlineStr">
        <is>
          <t>https://www.eib.org/en/projects/loans/all/20190203</t>
        </is>
      </c>
      <c r="V116" s="15" t="inlineStr">
        <is>
          <t>2019-11-23</t>
        </is>
      </c>
      <c r="W116" s="15" t="inlineStr">
        <is>
          <t>BANQUE MISR LOAN FOR SMES AND MIDCAPS II</t>
        </is>
      </c>
    </row>
    <row r="117">
      <c r="A117" s="8" t="n">
        <v>116</v>
      </c>
      <c r="B117" s="8" t="inlineStr">
        <is>
          <t>AR-116</t>
        </is>
      </c>
      <c r="C117" s="8" t="inlineStr">
        <is>
          <t>B</t>
        </is>
      </c>
      <c r="D117" s="8" t="inlineStr">
        <is>
          <t>top 200 by USD</t>
        </is>
      </c>
      <c r="E117" s="8" t="inlineStr">
        <is>
          <t>EIB Global</t>
        </is>
      </c>
      <c r="F117" s="8" t="inlineStr">
        <is>
          <t>SME DEVELOPMENT LOAN</t>
        </is>
      </c>
      <c r="G117" s="8" t="inlineStr">
        <is>
          <t>Türkiye</t>
        </is>
      </c>
      <c r="H117" s="8" t="n">
        <v>2009</v>
      </c>
      <c r="I117" s="9" t="n">
        <v>400000000</v>
      </c>
      <c r="J117" s="8" t="inlineStr">
        <is>
          <t>EUR</t>
        </is>
      </c>
      <c r="K117" s="10" t="n">
        <v>557.9127999999999</v>
      </c>
      <c r="L117" s="8" t="n">
        <v>14</v>
      </c>
      <c r="M117" s="8" t="inlineStr"/>
      <c r="N117" s="11">
        <f>HYPERLINK("https://www.eib.org/en/projects/loans/all/20080673","Open page")</f>
        <v/>
      </c>
      <c r="O117" s="12" t="n"/>
      <c r="P117" s="13" t="n"/>
      <c r="Q117" s="12" t="n"/>
      <c r="R117" s="12" t="n"/>
      <c r="S117" s="12" t="n"/>
      <c r="T117" s="14" t="n"/>
      <c r="U117" s="15" t="inlineStr">
        <is>
          <t>https://www.eib.org/en/projects/loans/all/20080673</t>
        </is>
      </c>
      <c r="V117" s="15" t="inlineStr">
        <is>
          <t>2009-06-07</t>
        </is>
      </c>
      <c r="W117" s="15" t="inlineStr">
        <is>
          <t>SME DEVELOPMENT LOAN</t>
        </is>
      </c>
    </row>
    <row r="118">
      <c r="A118" s="8" t="n">
        <v>117</v>
      </c>
      <c r="B118" s="8" t="inlineStr">
        <is>
          <t>AR-117</t>
        </is>
      </c>
      <c r="C118" s="8" t="inlineStr">
        <is>
          <t>B</t>
        </is>
      </c>
      <c r="D118" s="8" t="inlineStr">
        <is>
          <t>top 200 by USD</t>
        </is>
      </c>
      <c r="E118" s="8" t="inlineStr">
        <is>
          <t>EBRD</t>
        </is>
      </c>
      <c r="F118" s="8" t="inlineStr">
        <is>
          <t>R1 Motorway - Slovakia</t>
        </is>
      </c>
      <c r="G118" s="8" t="inlineStr">
        <is>
          <t>Slovakia</t>
        </is>
      </c>
      <c r="H118" s="8" t="n">
        <v>2009</v>
      </c>
      <c r="I118" s="9" t="n">
        <v>399191554.85</v>
      </c>
      <c r="J118" s="8" t="inlineStr">
        <is>
          <t>EUR</t>
        </is>
      </c>
      <c r="K118" s="10" t="n">
        <v>556.7851952567927</v>
      </c>
      <c r="L118" s="8" t="n">
        <v>28</v>
      </c>
      <c r="M118" s="8" t="inlineStr">
        <is>
          <t>Our figure is EBRD's 'Net Cumulative Bank Investment'.</t>
        </is>
      </c>
      <c r="N118" s="11">
        <f>HYPERLINK("https://www.google.com/search?q=site%3Aebrd.com%2Fhome%2Fwork-with-us%2Fprojects%2Fpsd+R1+Motorway+-+Slovakia","Search EBRD")</f>
        <v/>
      </c>
      <c r="O118" s="12" t="n"/>
      <c r="P118" s="13" t="n"/>
      <c r="Q118" s="12" t="n"/>
      <c r="R118" s="12" t="n"/>
      <c r="S118" s="12" t="n"/>
      <c r="T118" s="14" t="n"/>
      <c r="U118" s="15" t="inlineStr">
        <is>
          <t>https://www.ebrd.com/content/dam/ebrd_dxp/assets/pdfs/publications/ebrd-investments-1991-2025.xlsx</t>
        </is>
      </c>
      <c r="V118" s="15" t="inlineStr">
        <is>
          <t>2009-08-27</t>
        </is>
      </c>
      <c r="W118" s="15" t="inlineStr">
        <is>
          <t>R1 Motorway - Slovakia</t>
        </is>
      </c>
    </row>
    <row r="119">
      <c r="A119" s="8" t="n">
        <v>118</v>
      </c>
      <c r="B119" s="8" t="inlineStr">
        <is>
          <t>AR-118</t>
        </is>
      </c>
      <c r="C119" s="8" t="inlineStr">
        <is>
          <t>B</t>
        </is>
      </c>
      <c r="D119" s="8" t="inlineStr">
        <is>
          <t>top 200 by USD</t>
        </is>
      </c>
      <c r="E119" s="8" t="inlineStr">
        <is>
          <t>EIB Global</t>
        </is>
      </c>
      <c r="F119" s="8" t="inlineStr">
        <is>
          <t>ISTANBUL-ANKARA RAILWAY TRANCHE B</t>
        </is>
      </c>
      <c r="G119" s="8" t="inlineStr">
        <is>
          <t>Türkiye</t>
        </is>
      </c>
      <c r="H119" s="8" t="n">
        <v>2011</v>
      </c>
      <c r="I119" s="9" t="n">
        <v>400000000</v>
      </c>
      <c r="J119" s="8" t="inlineStr">
        <is>
          <t>EUR</t>
        </is>
      </c>
      <c r="K119" s="10" t="n">
        <v>556.782</v>
      </c>
      <c r="L119" s="8" t="n">
        <v>15</v>
      </c>
      <c r="M119" s="8" t="inlineStr"/>
      <c r="N119" s="11">
        <f>HYPERLINK("https://www.eib.org/en/projects/loans/all/20110171","Open page")</f>
        <v/>
      </c>
      <c r="O119" s="12" t="n"/>
      <c r="P119" s="13" t="n"/>
      <c r="Q119" s="12" t="n"/>
      <c r="R119" s="12" t="n"/>
      <c r="S119" s="12" t="n"/>
      <c r="T119" s="14" t="n"/>
      <c r="U119" s="15" t="inlineStr">
        <is>
          <t>https://www.eib.org/en/projects/loans/all/20110171</t>
        </is>
      </c>
      <c r="V119" s="15" t="inlineStr">
        <is>
          <t>2011-12-12</t>
        </is>
      </c>
      <c r="W119" s="15" t="inlineStr">
        <is>
          <t>ISTANBUL-ANKARA RAILWAY TRANCHE B</t>
        </is>
      </c>
    </row>
    <row r="120">
      <c r="A120" s="8" t="n">
        <v>119</v>
      </c>
      <c r="B120" s="8" t="inlineStr">
        <is>
          <t>AR-119</t>
        </is>
      </c>
      <c r="C120" s="8" t="inlineStr">
        <is>
          <t>B</t>
        </is>
      </c>
      <c r="D120" s="8" t="inlineStr">
        <is>
          <t>top 200 by USD</t>
        </is>
      </c>
      <c r="E120" s="8" t="inlineStr">
        <is>
          <t>EIB Global</t>
        </is>
      </c>
      <c r="F120" s="8" t="inlineStr">
        <is>
          <t>EGYPT PRIVATE SECTOR SUPPORT</t>
        </is>
      </c>
      <c r="G120" s="8" t="inlineStr">
        <is>
          <t>Egypt</t>
        </is>
      </c>
      <c r="H120" s="8" t="n">
        <v>2016</v>
      </c>
      <c r="I120" s="9" t="n">
        <v>500000000</v>
      </c>
      <c r="J120" s="8" t="inlineStr">
        <is>
          <t>EUR</t>
        </is>
      </c>
      <c r="K120" s="10" t="n">
        <v>553.4515</v>
      </c>
      <c r="L120" s="8" t="n">
        <v>16</v>
      </c>
      <c r="M120" s="8" t="inlineStr"/>
      <c r="N120" s="11">
        <f>HYPERLINK("https://www.eib.org/en/projects/loans/all/20160343","Open page")</f>
        <v/>
      </c>
      <c r="O120" s="12" t="n"/>
      <c r="P120" s="13" t="n"/>
      <c r="Q120" s="12" t="n"/>
      <c r="R120" s="12" t="n"/>
      <c r="S120" s="12" t="n"/>
      <c r="T120" s="14" t="n"/>
      <c r="U120" s="15" t="inlineStr">
        <is>
          <t>https://www.eib.org/en/projects/loans/all/20160343</t>
        </is>
      </c>
      <c r="V120" s="15" t="inlineStr">
        <is>
          <t>2016-10-22</t>
        </is>
      </c>
      <c r="W120" s="15" t="inlineStr">
        <is>
          <t>EGYPT PRIVATE SECTOR SUPPORT</t>
        </is>
      </c>
    </row>
    <row r="121">
      <c r="A121" s="8" t="n">
        <v>120</v>
      </c>
      <c r="B121" s="8" t="inlineStr">
        <is>
          <t>AR-120</t>
        </is>
      </c>
      <c r="C121" s="8" t="inlineStr">
        <is>
          <t>B</t>
        </is>
      </c>
      <c r="D121" s="8" t="inlineStr">
        <is>
          <t>top 200 by USD</t>
        </is>
      </c>
      <c r="E121" s="8" t="inlineStr">
        <is>
          <t>DFC</t>
        </is>
      </c>
      <c r="F121" s="8" t="inlineStr">
        <is>
          <t>Colombo West International Terminal Private Limited</t>
        </is>
      </c>
      <c r="G121" s="8" t="inlineStr">
        <is>
          <t>Sri Lanka</t>
        </is>
      </c>
      <c r="H121" s="8" t="n">
        <v>2023</v>
      </c>
      <c r="I121" s="9" t="n">
        <v>553000000</v>
      </c>
      <c r="J121" s="8" t="inlineStr">
        <is>
          <t>USD</t>
        </is>
      </c>
      <c r="K121" s="10" t="n">
        <v>553</v>
      </c>
      <c r="L121" s="8" t="n">
        <v>10</v>
      </c>
      <c r="M121" s="8" t="inlineStr"/>
      <c r="N121" s="11">
        <f>HYPERLINK("https://www.dfc.gov/sites/default/files/media/documents/9000115860.pdf","Open page")</f>
        <v/>
      </c>
      <c r="O121" s="12" t="n"/>
      <c r="P121" s="13" t="n"/>
      <c r="Q121" s="12" t="n"/>
      <c r="R121" s="12" t="n"/>
      <c r="S121" s="12" t="n"/>
      <c r="T121" s="14" t="n"/>
      <c r="U121" s="15" t="inlineStr">
        <is>
          <t>https://www.dfc.gov/sites/default/files/media/documents/9000115860.pdf</t>
        </is>
      </c>
      <c r="V121" s="15" t="n"/>
      <c r="W121" s="15" t="inlineStr">
        <is>
          <t>Colombo West International Terminal Private Limited</t>
        </is>
      </c>
    </row>
    <row r="122">
      <c r="A122" s="8" t="n">
        <v>121</v>
      </c>
      <c r="B122" s="8" t="inlineStr">
        <is>
          <t>AR-121</t>
        </is>
      </c>
      <c r="C122" s="8" t="inlineStr">
        <is>
          <t>B</t>
        </is>
      </c>
      <c r="D122" s="8" t="inlineStr">
        <is>
          <t>top 200 by USD</t>
        </is>
      </c>
      <c r="E122" s="8" t="inlineStr">
        <is>
          <t>DFC</t>
        </is>
      </c>
      <c r="F122" s="8" t="inlineStr">
        <is>
          <t>Lobito Atlantic Railway, S.A.</t>
        </is>
      </c>
      <c r="G122" s="8" t="inlineStr">
        <is>
          <t>Angola</t>
        </is>
      </c>
      <c r="H122" s="8" t="n">
        <v>2024</v>
      </c>
      <c r="I122" s="9" t="n">
        <v>553000000</v>
      </c>
      <c r="J122" s="8" t="inlineStr">
        <is>
          <t>USD</t>
        </is>
      </c>
      <c r="K122" s="10" t="n">
        <v>553</v>
      </c>
      <c r="L122" s="8" t="n">
        <v>11</v>
      </c>
      <c r="M122" s="8" t="inlineStr"/>
      <c r="N122" s="11">
        <f>HYPERLINK("https://www.dfc.gov/sites/default/files/media/documents/9000116004.pdf","Open page")</f>
        <v/>
      </c>
      <c r="O122" s="12" t="n"/>
      <c r="P122" s="13" t="n"/>
      <c r="Q122" s="12" t="n"/>
      <c r="R122" s="12" t="n"/>
      <c r="S122" s="12" t="n"/>
      <c r="T122" s="14" t="n"/>
      <c r="U122" s="15" t="inlineStr">
        <is>
          <t>https://www.dfc.gov/sites/default/files/media/documents/9000116004.pdf</t>
        </is>
      </c>
      <c r="V122" s="15" t="n"/>
      <c r="W122" s="15" t="inlineStr">
        <is>
          <t>Lobito Atlantic Railway, S.A.</t>
        </is>
      </c>
    </row>
    <row r="123">
      <c r="A123" s="8" t="n">
        <v>122</v>
      </c>
      <c r="B123" s="8" t="inlineStr">
        <is>
          <t>AR-122</t>
        </is>
      </c>
      <c r="C123" s="8" t="inlineStr">
        <is>
          <t>B</t>
        </is>
      </c>
      <c r="D123" s="8" t="inlineStr">
        <is>
          <t>top 200 by USD</t>
        </is>
      </c>
      <c r="E123" s="8" t="inlineStr">
        <is>
          <t>AfDB</t>
        </is>
      </c>
      <c r="F123" s="8" t="inlineStr">
        <is>
          <t>Nigeria - Development Bank of Nigeria Plc Project</t>
        </is>
      </c>
      <c r="G123" s="8" t="inlineStr">
        <is>
          <t>Nigeria</t>
        </is>
      </c>
      <c r="H123" s="8" t="n">
        <v>2014</v>
      </c>
      <c r="I123" s="9" t="n">
        <v>365069228.37</v>
      </c>
      <c r="J123" s="8" t="inlineStr">
        <is>
          <t>XDR</t>
        </is>
      </c>
      <c r="K123" s="10" t="n">
        <v>551.6805706282078</v>
      </c>
      <c r="L123" s="8" t="n">
        <v>22</v>
      </c>
      <c r="M123" s="8" t="inlineStr"/>
      <c r="N123" s="11">
        <f>HYPERLINK("https://mapafrica.afdb.org/en/projects/46002-P-NG-HAA-004","Open page")</f>
        <v/>
      </c>
      <c r="O123" s="12" t="n"/>
      <c r="P123" s="13" t="n"/>
      <c r="Q123" s="12" t="n"/>
      <c r="R123" s="12" t="n"/>
      <c r="S123" s="12" t="n"/>
      <c r="T123" s="14" t="n"/>
      <c r="U123" s="15" t="inlineStr">
        <is>
          <t>https://mapafrica.afdb.org/en/projects/46002-P-NG-HAA-004</t>
        </is>
      </c>
      <c r="V123" s="15" t="inlineStr">
        <is>
          <t>2014-12-15</t>
        </is>
      </c>
      <c r="W123" s="15" t="inlineStr">
        <is>
          <t>Nigeria - Development Bank of Nigeria Plc Project</t>
        </is>
      </c>
    </row>
    <row r="124">
      <c r="A124" s="8" t="n">
        <v>123</v>
      </c>
      <c r="B124" s="8" t="inlineStr">
        <is>
          <t>AR-123</t>
        </is>
      </c>
      <c r="C124" s="8" t="inlineStr">
        <is>
          <t>B</t>
        </is>
      </c>
      <c r="D124" s="8" t="inlineStr">
        <is>
          <t>top 200 by USD</t>
        </is>
      </c>
      <c r="E124" s="8" t="inlineStr">
        <is>
          <t>DFC</t>
        </is>
      </c>
      <c r="F124" s="8" t="inlineStr">
        <is>
          <t>Ceyhan Polipropilen Üretim Anonim Sirketi</t>
        </is>
      </c>
      <c r="G124" s="8" t="inlineStr">
        <is>
          <t>Türkiye</t>
        </is>
      </c>
      <c r="H124" s="8" t="n">
        <v>2023</v>
      </c>
      <c r="I124" s="9" t="n">
        <v>550000000</v>
      </c>
      <c r="J124" s="8" t="inlineStr">
        <is>
          <t>USD</t>
        </is>
      </c>
      <c r="K124" s="10" t="n">
        <v>550</v>
      </c>
      <c r="L124" s="8" t="n">
        <v>12</v>
      </c>
      <c r="M124" s="8" t="inlineStr"/>
      <c r="N124" s="11">
        <f>HYPERLINK("https://www.dfc.gov/sites/default/files/media/documents/9000103889_0.pdf","Open page")</f>
        <v/>
      </c>
      <c r="O124" s="12" t="n"/>
      <c r="P124" s="13" t="n"/>
      <c r="Q124" s="12" t="n"/>
      <c r="R124" s="12" t="n"/>
      <c r="S124" s="12" t="n"/>
      <c r="T124" s="14" t="n"/>
      <c r="U124" s="15" t="inlineStr">
        <is>
          <t>https://www.dfc.gov/sites/default/files/media/documents/9000103889_0.pdf</t>
        </is>
      </c>
      <c r="V124" s="15" t="n"/>
      <c r="W124" s="15" t="inlineStr">
        <is>
          <t>Ceyhan Polipropilen Üretim Anonim Sirketi</t>
        </is>
      </c>
    </row>
    <row r="125">
      <c r="A125" s="8" t="n">
        <v>124</v>
      </c>
      <c r="B125" s="8" t="inlineStr">
        <is>
          <t>AR-124</t>
        </is>
      </c>
      <c r="C125" s="8" t="inlineStr">
        <is>
          <t>B</t>
        </is>
      </c>
      <c r="D125" s="8" t="inlineStr">
        <is>
          <t>top 200 by USD</t>
        </is>
      </c>
      <c r="E125" s="8" t="inlineStr">
        <is>
          <t>EIB Global</t>
        </is>
      </c>
      <c r="F125" s="8" t="inlineStr">
        <is>
          <t>SCIENCE AND RESEARCH PROMOTION</t>
        </is>
      </c>
      <c r="G125" s="8" t="inlineStr">
        <is>
          <t>Türkiye</t>
        </is>
      </c>
      <c r="H125" s="8" t="n">
        <v>2007</v>
      </c>
      <c r="I125" s="9" t="n">
        <v>400000000</v>
      </c>
      <c r="J125" s="8" t="inlineStr">
        <is>
          <t>EUR</t>
        </is>
      </c>
      <c r="K125" s="10" t="n">
        <v>548.1912</v>
      </c>
      <c r="L125" s="8" t="n">
        <v>17</v>
      </c>
      <c r="M125" s="8" t="inlineStr"/>
      <c r="N125" s="11">
        <f>HYPERLINK("https://www.eib.org/en/projects/loans/all/20050383","Open page")</f>
        <v/>
      </c>
      <c r="O125" s="12" t="n"/>
      <c r="P125" s="13" t="n"/>
      <c r="Q125" s="12" t="n"/>
      <c r="R125" s="12" t="n"/>
      <c r="S125" s="12" t="n"/>
      <c r="T125" s="14" t="n"/>
      <c r="U125" s="15" t="inlineStr">
        <is>
          <t>https://www.eib.org/en/projects/loans/all/20050383</t>
        </is>
      </c>
      <c r="V125" s="15" t="inlineStr">
        <is>
          <t>2007-07-26</t>
        </is>
      </c>
      <c r="W125" s="15" t="inlineStr">
        <is>
          <t>SCIENCE AND RESEARCH PROMOTION</t>
        </is>
      </c>
    </row>
    <row r="126">
      <c r="A126" s="8" t="n">
        <v>125</v>
      </c>
      <c r="B126" s="8" t="inlineStr">
        <is>
          <t>AR-125</t>
        </is>
      </c>
      <c r="C126" s="8" t="inlineStr">
        <is>
          <t>B</t>
        </is>
      </c>
      <c r="D126" s="8" t="inlineStr">
        <is>
          <t>top 200 by USD</t>
        </is>
      </c>
      <c r="E126" s="8" t="inlineStr">
        <is>
          <t>DFC</t>
        </is>
      </c>
      <c r="F126" s="8" t="inlineStr">
        <is>
          <t>Energo Pro A.S.</t>
        </is>
      </c>
      <c r="G126" s="8" t="inlineStr">
        <is>
          <t>Regional — Europe &amp; Central Asia</t>
        </is>
      </c>
      <c r="H126" s="8" t="n">
        <v>2023</v>
      </c>
      <c r="I126" s="9" t="n">
        <v>545000000</v>
      </c>
      <c r="J126" s="8" t="inlineStr">
        <is>
          <t>USD</t>
        </is>
      </c>
      <c r="K126" s="10" t="n">
        <v>545</v>
      </c>
      <c r="L126" s="8" t="n">
        <v>13</v>
      </c>
      <c r="M126" s="8" t="inlineStr"/>
      <c r="N126" s="11">
        <f>HYPERLINK("https://www.dfc.gov/sites/default/files/media/documents/9000116015.pdf","Open page")</f>
        <v/>
      </c>
      <c r="O126" s="12" t="n"/>
      <c r="P126" s="13" t="n"/>
      <c r="Q126" s="12" t="n"/>
      <c r="R126" s="12" t="n"/>
      <c r="S126" s="12" t="n"/>
      <c r="T126" s="14" t="n"/>
      <c r="U126" s="15" t="inlineStr">
        <is>
          <t>https://www.dfc.gov/sites/default/files/media/documents/9000116015.pdf</t>
        </is>
      </c>
      <c r="V126" s="15" t="n"/>
      <c r="W126" s="15" t="inlineStr">
        <is>
          <t>Energo Pro A.S.</t>
        </is>
      </c>
    </row>
    <row r="127">
      <c r="A127" s="8" t="n">
        <v>126</v>
      </c>
      <c r="B127" s="8" t="inlineStr">
        <is>
          <t>AR-126</t>
        </is>
      </c>
      <c r="C127" s="8" t="inlineStr">
        <is>
          <t>B</t>
        </is>
      </c>
      <c r="D127" s="8" t="inlineStr">
        <is>
          <t>top 200 by USD</t>
        </is>
      </c>
      <c r="E127" s="8" t="inlineStr">
        <is>
          <t>EIB Global</t>
        </is>
      </c>
      <c r="F127" s="8" t="inlineStr">
        <is>
          <t>CORRIDOR X (E-75) MOTORWAY</t>
        </is>
      </c>
      <c r="G127" s="8" t="inlineStr">
        <is>
          <t>Serbia</t>
        </is>
      </c>
      <c r="H127" s="8" t="n">
        <v>2009</v>
      </c>
      <c r="I127" s="9" t="n">
        <v>384000000</v>
      </c>
      <c r="J127" s="8" t="inlineStr">
        <is>
          <t>EUR</t>
        </is>
      </c>
      <c r="K127" s="10" t="n">
        <v>535.596288</v>
      </c>
      <c r="L127" s="8" t="n">
        <v>18</v>
      </c>
      <c r="M127" s="8" t="inlineStr"/>
      <c r="N127" s="11">
        <f>HYPERLINK("https://www.eib.org/en/projects/loans/all/20060324","Open page")</f>
        <v/>
      </c>
      <c r="O127" s="12" t="n"/>
      <c r="P127" s="13" t="n"/>
      <c r="Q127" s="12" t="n"/>
      <c r="R127" s="12" t="n"/>
      <c r="S127" s="12" t="n"/>
      <c r="T127" s="14" t="n"/>
      <c r="U127" s="15" t="inlineStr">
        <is>
          <t>https://www.eib.org/en/projects/loans/all/20060324</t>
        </is>
      </c>
      <c r="V127" s="15" t="inlineStr">
        <is>
          <t>2009-10-22</t>
        </is>
      </c>
      <c r="W127" s="15" t="inlineStr">
        <is>
          <t>CORRIDOR X (E-75) MOTORWAY</t>
        </is>
      </c>
    </row>
    <row r="128">
      <c r="A128" s="8" t="n">
        <v>127</v>
      </c>
      <c r="B128" s="8" t="inlineStr">
        <is>
          <t>AR-127</t>
        </is>
      </c>
      <c r="C128" s="8" t="inlineStr">
        <is>
          <t>B</t>
        </is>
      </c>
      <c r="D128" s="8" t="inlineStr">
        <is>
          <t>top 200 by USD</t>
        </is>
      </c>
      <c r="E128" s="8" t="inlineStr">
        <is>
          <t>AfDB</t>
        </is>
      </c>
      <c r="F128" s="8" t="inlineStr">
        <is>
          <t>Angola - Energy sector efficiency and expansion programme (ESEEP) - Phase I</t>
        </is>
      </c>
      <c r="G128" s="8" t="inlineStr">
        <is>
          <t>Angola</t>
        </is>
      </c>
      <c r="H128" s="8" t="n">
        <v>2019</v>
      </c>
      <c r="I128" s="9" t="n">
        <v>387427348.42</v>
      </c>
      <c r="J128" s="8" t="inlineStr">
        <is>
          <t>XDR</t>
        </is>
      </c>
      <c r="K128" s="10" t="n">
        <v>535.1030308172514</v>
      </c>
      <c r="L128" s="8" t="n">
        <v>23</v>
      </c>
      <c r="M128" s="8" t="inlineStr"/>
      <c r="N128" s="11">
        <f>HYPERLINK("https://mapafrica.afdb.org/en/projects/46002-P-AO-FA0-003","Open page")</f>
        <v/>
      </c>
      <c r="O128" s="12" t="n"/>
      <c r="P128" s="13" t="n"/>
      <c r="Q128" s="12" t="n"/>
      <c r="R128" s="12" t="n"/>
      <c r="S128" s="12" t="n"/>
      <c r="T128" s="14" t="n"/>
      <c r="U128" s="15" t="inlineStr">
        <is>
          <t>https://mapafrica.afdb.org/en/projects/46002-P-AO-FA0-003</t>
        </is>
      </c>
      <c r="V128" s="15" t="inlineStr">
        <is>
          <t>2019-12-13</t>
        </is>
      </c>
      <c r="W128" s="15" t="inlineStr">
        <is>
          <t>Angola - Energy sector efficiency and expansion programme (ESEEP) - Phase I</t>
        </is>
      </c>
    </row>
    <row r="129">
      <c r="A129" s="8" t="n">
        <v>128</v>
      </c>
      <c r="B129" s="8" t="inlineStr">
        <is>
          <t>AR-128</t>
        </is>
      </c>
      <c r="C129" s="8" t="inlineStr">
        <is>
          <t>B</t>
        </is>
      </c>
      <c r="D129" s="8" t="inlineStr">
        <is>
          <t>top 200 by USD</t>
        </is>
      </c>
      <c r="E129" s="8" t="inlineStr">
        <is>
          <t>DFC</t>
        </is>
      </c>
      <c r="F129" s="8" t="inlineStr">
        <is>
          <t>Tetra4 Proprietary Limited</t>
        </is>
      </c>
      <c r="G129" s="8" t="inlineStr">
        <is>
          <t>South Africa</t>
        </is>
      </c>
      <c r="H129" s="8" t="n">
        <v>2023</v>
      </c>
      <c r="I129" s="9" t="n">
        <v>535000000</v>
      </c>
      <c r="J129" s="8" t="inlineStr">
        <is>
          <t>USD</t>
        </is>
      </c>
      <c r="K129" s="10" t="n">
        <v>535</v>
      </c>
      <c r="L129" s="8" t="n">
        <v>14</v>
      </c>
      <c r="M129" s="8" t="inlineStr"/>
      <c r="N129" s="11">
        <f>HYPERLINK("https://www.dfc.gov/sites/default/files/media/documents/9000103744.pdf","Open page")</f>
        <v/>
      </c>
      <c r="O129" s="12" t="n"/>
      <c r="P129" s="13" t="n"/>
      <c r="Q129" s="12" t="n"/>
      <c r="R129" s="12" t="n"/>
      <c r="S129" s="12" t="n"/>
      <c r="T129" s="14" t="n"/>
      <c r="U129" s="15" t="inlineStr">
        <is>
          <t>https://www.dfc.gov/sites/default/files/media/documents/9000103744.pdf</t>
        </is>
      </c>
      <c r="V129" s="15" t="n"/>
      <c r="W129" s="15" t="inlineStr">
        <is>
          <t>Tetra4 Proprietary Limited</t>
        </is>
      </c>
    </row>
    <row r="130">
      <c r="A130" s="8" t="n">
        <v>129</v>
      </c>
      <c r="B130" s="8" t="inlineStr">
        <is>
          <t>AR-129</t>
        </is>
      </c>
      <c r="C130" s="8" t="inlineStr">
        <is>
          <t>B</t>
        </is>
      </c>
      <c r="D130" s="8" t="inlineStr">
        <is>
          <t>top 200 by USD</t>
        </is>
      </c>
      <c r="E130" s="8" t="inlineStr">
        <is>
          <t>EIB Global</t>
        </is>
      </c>
      <c r="F130" s="8" t="inlineStr">
        <is>
          <t>ISRAEL LOAN FOR SMES&amp;MIDCAPS &amp; GREEN TRANSITION</t>
        </is>
      </c>
      <c r="G130" s="8" t="inlineStr">
        <is>
          <t>Israel</t>
        </is>
      </c>
      <c r="H130" s="8" t="n">
        <v>2022</v>
      </c>
      <c r="I130" s="9" t="n">
        <v>500000000</v>
      </c>
      <c r="J130" s="8" t="inlineStr">
        <is>
          <t>EUR</t>
        </is>
      </c>
      <c r="K130" s="10" t="n">
        <v>526.5245</v>
      </c>
      <c r="L130" s="8" t="n">
        <v>19</v>
      </c>
      <c r="M130" s="8" t="inlineStr"/>
      <c r="N130" s="11">
        <f>HYPERLINK("https://www.eib.org/en/projects/loans/all/20220476","Open page")</f>
        <v/>
      </c>
      <c r="O130" s="12" t="n"/>
      <c r="P130" s="13" t="n"/>
      <c r="Q130" s="12" t="n"/>
      <c r="R130" s="12" t="n"/>
      <c r="S130" s="12" t="n"/>
      <c r="T130" s="14" t="n"/>
      <c r="U130" s="15" t="inlineStr">
        <is>
          <t>https://www.eib.org/en/projects/loans/all/20220476</t>
        </is>
      </c>
      <c r="V130" s="15" t="inlineStr">
        <is>
          <t>2022-12-30</t>
        </is>
      </c>
      <c r="W130" s="15" t="inlineStr">
        <is>
          <t>ISRAEL LOAN FOR SMES&amp;MIDCAPS &amp; GREEN TRANSITION</t>
        </is>
      </c>
    </row>
    <row r="131">
      <c r="A131" s="8" t="n">
        <v>130</v>
      </c>
      <c r="B131" s="8" t="inlineStr">
        <is>
          <t>AR-130</t>
        </is>
      </c>
      <c r="C131" s="8" t="inlineStr">
        <is>
          <t>B</t>
        </is>
      </c>
      <c r="D131" s="8" t="inlineStr">
        <is>
          <t>top 200 by USD</t>
        </is>
      </c>
      <c r="E131" s="8" t="inlineStr">
        <is>
          <t>AfDB</t>
        </is>
      </c>
      <c r="F131" s="8" t="inlineStr">
        <is>
          <t>Democratic Republic of Congo - Arrears Clearance Project - Phase 2</t>
        </is>
      </c>
      <c r="G131" s="8" t="inlineStr">
        <is>
          <t>DR Congo</t>
        </is>
      </c>
      <c r="H131" s="8" t="n">
        <v>2002</v>
      </c>
      <c r="I131" s="9" t="n">
        <v>365481773.33</v>
      </c>
      <c r="J131" s="8" t="inlineStr">
        <is>
          <t>XDR</t>
        </is>
      </c>
      <c r="K131" s="10" t="n">
        <v>521.3239324414586</v>
      </c>
      <c r="L131" s="8" t="n">
        <v>24</v>
      </c>
      <c r="M131" s="8" t="inlineStr"/>
      <c r="N131" s="11">
        <f>HYPERLINK("https://mapafrica.afdb.org/en/projects/46002-P-CD-KZ0-002","Open page")</f>
        <v/>
      </c>
      <c r="O131" s="12" t="n"/>
      <c r="P131" s="13" t="n"/>
      <c r="Q131" s="12" t="n"/>
      <c r="R131" s="12" t="n"/>
      <c r="S131" s="12" t="n"/>
      <c r="T131" s="14" t="n"/>
      <c r="U131" s="15" t="inlineStr">
        <is>
          <t>https://mapafrica.afdb.org/en/projects/46002-P-CD-KZ0-002</t>
        </is>
      </c>
      <c r="V131" s="15" t="inlineStr">
        <is>
          <t>2002-06-26</t>
        </is>
      </c>
      <c r="W131" s="15" t="inlineStr">
        <is>
          <t>Democratic Republic of Congo - Arrears Clearance Project - Phase 2</t>
        </is>
      </c>
    </row>
    <row r="132">
      <c r="A132" s="8" t="n">
        <v>131</v>
      </c>
      <c r="B132" s="8" t="inlineStr">
        <is>
          <t>AR-131</t>
        </is>
      </c>
      <c r="C132" s="8" t="inlineStr">
        <is>
          <t>B</t>
        </is>
      </c>
      <c r="D132" s="8" t="inlineStr">
        <is>
          <t>top 200 by USD</t>
        </is>
      </c>
      <c r="E132" s="8" t="inlineStr">
        <is>
          <t>AfDB</t>
        </is>
      </c>
      <c r="F132" s="8" t="inlineStr">
        <is>
          <t>Egypt - Economic Governance and Energy Support Program III (EGESP III)</t>
        </is>
      </c>
      <c r="G132" s="8" t="inlineStr">
        <is>
          <t>Egypt</t>
        </is>
      </c>
      <c r="H132" s="8" t="n">
        <v>2018</v>
      </c>
      <c r="I132" s="9" t="n">
        <v>365096750.64</v>
      </c>
      <c r="J132" s="8" t="inlineStr">
        <is>
          <t>XDR</t>
        </is>
      </c>
      <c r="K132" s="10" t="n">
        <v>516.593647318068</v>
      </c>
      <c r="L132" s="8" t="n">
        <v>25</v>
      </c>
      <c r="M132" s="8" t="inlineStr"/>
      <c r="N132" s="11">
        <f>HYPERLINK("https://mapafrica.afdb.org/en/projects/46002-P-EG-K00-011","Open page")</f>
        <v/>
      </c>
      <c r="O132" s="12" t="n"/>
      <c r="P132" s="13" t="n"/>
      <c r="Q132" s="12" t="n"/>
      <c r="R132" s="12" t="n"/>
      <c r="S132" s="12" t="n"/>
      <c r="T132" s="14" t="n"/>
      <c r="U132" s="15" t="inlineStr">
        <is>
          <t>https://mapafrica.afdb.org/en/projects/46002-P-EG-K00-011</t>
        </is>
      </c>
      <c r="V132" s="15" t="inlineStr">
        <is>
          <t>2018-01-17</t>
        </is>
      </c>
      <c r="W132" s="15" t="inlineStr">
        <is>
          <t>Egypt - Economic Governance and Energy Support Program III (EGESP III)</t>
        </is>
      </c>
    </row>
    <row r="133">
      <c r="A133" s="8" t="n">
        <v>132</v>
      </c>
      <c r="B133" s="8" t="inlineStr">
        <is>
          <t>AR-132</t>
        </is>
      </c>
      <c r="C133" s="8" t="inlineStr">
        <is>
          <t>B</t>
        </is>
      </c>
      <c r="D133" s="8" t="inlineStr">
        <is>
          <t>top 200 by USD</t>
        </is>
      </c>
      <c r="E133" s="8" t="inlineStr">
        <is>
          <t>EBRD</t>
        </is>
      </c>
      <c r="F133" s="8" t="inlineStr">
        <is>
          <t>Ukraine Road Corridors</t>
        </is>
      </c>
      <c r="G133" s="8" t="inlineStr">
        <is>
          <t>Ukraine</t>
        </is>
      </c>
      <c r="H133" s="8" t="n">
        <v>2020</v>
      </c>
      <c r="I133" s="9" t="n">
        <v>450000000</v>
      </c>
      <c r="J133" s="8" t="inlineStr">
        <is>
          <t>EUR</t>
        </is>
      </c>
      <c r="K133" s="10" t="n">
        <v>513.9882</v>
      </c>
      <c r="L133" s="8" t="n">
        <v>31</v>
      </c>
      <c r="M133" s="8" t="inlineStr">
        <is>
          <t>Our figure is EBRD's 'Net Cumulative Bank Investment'.</t>
        </is>
      </c>
      <c r="N133" s="11">
        <f>HYPERLINK("https://www.google.com/search?q=site%3Aebrd.com%2Fhome%2Fwork-with-us%2Fprojects%2Fpsd+Ukraine+Road+Corridors","Search EBRD")</f>
        <v/>
      </c>
      <c r="O133" s="12" t="n"/>
      <c r="P133" s="13" t="n"/>
      <c r="Q133" s="12" t="n"/>
      <c r="R133" s="12" t="n"/>
      <c r="S133" s="12" t="n"/>
      <c r="T133" s="14" t="n"/>
      <c r="U133" s="15" t="inlineStr">
        <is>
          <t>https://www.ebrd.com/content/dam/ebrd_dxp/assets/pdfs/publications/ebrd-investments-1991-2025.xlsx</t>
        </is>
      </c>
      <c r="V133" s="15" t="inlineStr">
        <is>
          <t>2020-12-18</t>
        </is>
      </c>
      <c r="W133" s="15" t="inlineStr">
        <is>
          <t>Ukraine Road Corridors</t>
        </is>
      </c>
    </row>
    <row r="134">
      <c r="A134" s="8" t="n">
        <v>133</v>
      </c>
      <c r="B134" s="8" t="inlineStr">
        <is>
          <t>AR-133</t>
        </is>
      </c>
      <c r="C134" s="8" t="inlineStr">
        <is>
          <t>B</t>
        </is>
      </c>
      <c r="D134" s="8" t="inlineStr">
        <is>
          <t>top 200 by USD</t>
        </is>
      </c>
      <c r="E134" s="8" t="inlineStr">
        <is>
          <t>AfDB</t>
        </is>
      </c>
      <c r="F134" s="8" t="inlineStr">
        <is>
          <t>Egypt - Economic Governance and Energy Support Program</t>
        </is>
      </c>
      <c r="G134" s="8" t="inlineStr">
        <is>
          <t>Egypt</t>
        </is>
      </c>
      <c r="H134" s="8" t="n">
        <v>2015</v>
      </c>
      <c r="I134" s="9" t="n">
        <v>365657452.1</v>
      </c>
      <c r="J134" s="8" t="inlineStr">
        <is>
          <t>XDR</t>
        </is>
      </c>
      <c r="K134" s="10" t="n">
        <v>510.2069621194594</v>
      </c>
      <c r="L134" s="8" t="n">
        <v>26</v>
      </c>
      <c r="M134" s="8" t="inlineStr"/>
      <c r="N134" s="11">
        <f>HYPERLINK("https://mapafrica.afdb.org/en/projects/46002-P-EG-K00-009","Open page")</f>
        <v/>
      </c>
      <c r="O134" s="12" t="n"/>
      <c r="P134" s="13" t="n"/>
      <c r="Q134" s="12" t="n"/>
      <c r="R134" s="12" t="n"/>
      <c r="S134" s="12" t="n"/>
      <c r="T134" s="14" t="n"/>
      <c r="U134" s="15" t="inlineStr">
        <is>
          <t>https://mapafrica.afdb.org/en/projects/46002-P-EG-K00-009</t>
        </is>
      </c>
      <c r="V134" s="15" t="inlineStr">
        <is>
          <t>2015-12-15</t>
        </is>
      </c>
      <c r="W134" s="15" t="inlineStr">
        <is>
          <t>Egypt - Economic Governance and Energy Support Program</t>
        </is>
      </c>
    </row>
    <row r="135">
      <c r="A135" s="8" t="n">
        <v>134</v>
      </c>
      <c r="B135" s="8" t="inlineStr">
        <is>
          <t>AR-134</t>
        </is>
      </c>
      <c r="C135" s="8" t="inlineStr">
        <is>
          <t>B</t>
        </is>
      </c>
      <c r="D135" s="8" t="inlineStr">
        <is>
          <t>top 200 by USD</t>
        </is>
      </c>
      <c r="E135" s="8" t="inlineStr">
        <is>
          <t>AfDB</t>
        </is>
      </c>
      <c r="F135" s="8" t="inlineStr">
        <is>
          <t>Tunisia - Economic Recovery and Inclusive Development Support Programme</t>
        </is>
      </c>
      <c r="G135" s="8" t="inlineStr">
        <is>
          <t>Tunisia</t>
        </is>
      </c>
      <c r="H135" s="8" t="n">
        <v>2012</v>
      </c>
      <c r="I135" s="9" t="n">
        <v>330150509.79</v>
      </c>
      <c r="J135" s="8" t="inlineStr">
        <is>
          <t>XDR</t>
        </is>
      </c>
      <c r="K135" s="10" t="n">
        <v>506.1194109060309</v>
      </c>
      <c r="L135" s="8" t="n">
        <v>27</v>
      </c>
      <c r="M135" s="8" t="inlineStr"/>
      <c r="N135" s="11">
        <f>HYPERLINK("https://mapafrica.afdb.org/en/projects/46002-P-TN-IZ0-006","Open page")</f>
        <v/>
      </c>
      <c r="O135" s="12" t="n"/>
      <c r="P135" s="13" t="n"/>
      <c r="Q135" s="12" t="n"/>
      <c r="R135" s="12" t="n"/>
      <c r="S135" s="12" t="n"/>
      <c r="T135" s="14" t="n"/>
      <c r="U135" s="15" t="inlineStr">
        <is>
          <t>https://mapafrica.afdb.org/en/projects/46002-P-TN-IZ0-006</t>
        </is>
      </c>
      <c r="V135" s="15" t="inlineStr">
        <is>
          <t>2012-11-28</t>
        </is>
      </c>
      <c r="W135" s="15" t="inlineStr">
        <is>
          <t>Tunisia - Economic Recovery and Inclusive Development Support Programme</t>
        </is>
      </c>
    </row>
    <row r="136">
      <c r="A136" s="8" t="n">
        <v>135</v>
      </c>
      <c r="B136" s="8" t="inlineStr">
        <is>
          <t>AR-135</t>
        </is>
      </c>
      <c r="C136" s="8" t="inlineStr">
        <is>
          <t>B</t>
        </is>
      </c>
      <c r="D136" s="8" t="inlineStr">
        <is>
          <t>top 200 by USD</t>
        </is>
      </c>
      <c r="E136" s="8" t="inlineStr">
        <is>
          <t>AfDB</t>
        </is>
      </c>
      <c r="F136" s="8" t="inlineStr">
        <is>
          <t>Egypt - Economic Governance and Energy Support Program II</t>
        </is>
      </c>
      <c r="G136" s="8" t="inlineStr">
        <is>
          <t>Egypt</t>
        </is>
      </c>
      <c r="H136" s="8" t="n">
        <v>2016</v>
      </c>
      <c r="I136" s="9" t="n">
        <v>363697200.26</v>
      </c>
      <c r="J136" s="8" t="inlineStr">
        <is>
          <t>XDR</t>
        </is>
      </c>
      <c r="K136" s="10" t="n">
        <v>504.6971493427981</v>
      </c>
      <c r="L136" s="8" t="n">
        <v>28</v>
      </c>
      <c r="M136" s="8" t="inlineStr"/>
      <c r="N136" s="11">
        <f>HYPERLINK("https://mapafrica.afdb.org/en/projects/46002-P-EG-K00-010","Open page")</f>
        <v/>
      </c>
      <c r="O136" s="12" t="n"/>
      <c r="P136" s="13" t="n"/>
      <c r="Q136" s="12" t="n"/>
      <c r="R136" s="12" t="n"/>
      <c r="S136" s="12" t="n"/>
      <c r="T136" s="14" t="n"/>
      <c r="U136" s="15" t="inlineStr">
        <is>
          <t>https://mapafrica.afdb.org/en/projects/46002-P-EG-K00-010</t>
        </is>
      </c>
      <c r="V136" s="15" t="inlineStr">
        <is>
          <t>2016-12-13</t>
        </is>
      </c>
      <c r="W136" s="15" t="inlineStr">
        <is>
          <t>Egypt - Economic Governance and Energy Support Program II</t>
        </is>
      </c>
    </row>
    <row r="137">
      <c r="A137" s="8" t="n">
        <v>136</v>
      </c>
      <c r="B137" s="8" t="inlineStr">
        <is>
          <t>AR-136</t>
        </is>
      </c>
      <c r="C137" s="8" t="inlineStr">
        <is>
          <t>B</t>
        </is>
      </c>
      <c r="D137" s="8" t="inlineStr">
        <is>
          <t>top 200 by USD</t>
        </is>
      </c>
      <c r="E137" s="8" t="inlineStr">
        <is>
          <t>EIB Global</t>
        </is>
      </c>
      <c r="F137" s="8" t="inlineStr">
        <is>
          <t>VODAFONE - TURKEY</t>
        </is>
      </c>
      <c r="G137" s="8" t="inlineStr">
        <is>
          <t>Türkiye</t>
        </is>
      </c>
      <c r="H137" s="8" t="n">
        <v>2006</v>
      </c>
      <c r="I137" s="9" t="n">
        <v>400000000</v>
      </c>
      <c r="J137" s="8" t="inlineStr">
        <is>
          <t>EUR</t>
        </is>
      </c>
      <c r="K137" s="10" t="n">
        <v>502.2395999999999</v>
      </c>
      <c r="L137" s="8" t="n">
        <v>20</v>
      </c>
      <c r="M137" s="8" t="inlineStr"/>
      <c r="N137" s="11">
        <f>HYPERLINK("https://www.eib.org/en/projects/loans/all/20060027","Open page")</f>
        <v/>
      </c>
      <c r="O137" s="12" t="n"/>
      <c r="P137" s="13" t="n"/>
      <c r="Q137" s="12" t="n"/>
      <c r="R137" s="12" t="n"/>
      <c r="S137" s="12" t="n"/>
      <c r="T137" s="14" t="n"/>
      <c r="U137" s="15" t="inlineStr">
        <is>
          <t>https://www.eib.org/en/projects/loans/all/20060027</t>
        </is>
      </c>
      <c r="V137" s="15" t="inlineStr">
        <is>
          <t>2006-11-15</t>
        </is>
      </c>
      <c r="W137" s="15" t="inlineStr">
        <is>
          <t>VODAFONE - TURKEY</t>
        </is>
      </c>
    </row>
    <row r="138">
      <c r="A138" s="8" t="n">
        <v>137</v>
      </c>
      <c r="B138" s="8" t="inlineStr">
        <is>
          <t>AR-137</t>
        </is>
      </c>
      <c r="C138" s="8" t="inlineStr">
        <is>
          <t>B</t>
        </is>
      </c>
      <c r="D138" s="8" t="inlineStr">
        <is>
          <t>top 200 by USD</t>
        </is>
      </c>
      <c r="E138" s="8" t="inlineStr">
        <is>
          <t>EIB Global</t>
        </is>
      </c>
      <c r="F138" s="8" t="inlineStr">
        <is>
          <t>BOSPHORUS TUNNEL - COMMUTER TRAINS</t>
        </is>
      </c>
      <c r="G138" s="8" t="inlineStr">
        <is>
          <t>Türkiye</t>
        </is>
      </c>
      <c r="H138" s="8" t="n">
        <v>2006</v>
      </c>
      <c r="I138" s="9" t="n">
        <v>400000000</v>
      </c>
      <c r="J138" s="8" t="inlineStr">
        <is>
          <t>EUR</t>
        </is>
      </c>
      <c r="K138" s="10" t="n">
        <v>502.2395999999999</v>
      </c>
      <c r="L138" s="8" t="n">
        <v>21</v>
      </c>
      <c r="M138" s="8" t="inlineStr"/>
      <c r="N138" s="11">
        <f>HYPERLINK("https://www.eib.org/en/projects/loans/all/20050103","Open page")</f>
        <v/>
      </c>
      <c r="O138" s="12" t="n"/>
      <c r="P138" s="13" t="n"/>
      <c r="Q138" s="12" t="n"/>
      <c r="R138" s="12" t="n"/>
      <c r="S138" s="12" t="n"/>
      <c r="T138" s="14" t="n"/>
      <c r="U138" s="15" t="inlineStr">
        <is>
          <t>https://www.eib.org/en/projects/loans/all/20050103</t>
        </is>
      </c>
      <c r="V138" s="15" t="inlineStr">
        <is>
          <t>2006-03-12</t>
        </is>
      </c>
      <c r="W138" s="15" t="inlineStr">
        <is>
          <t>BOSPHORUS TUNNEL - COMMUTER TRAINS</t>
        </is>
      </c>
    </row>
    <row r="139">
      <c r="A139" s="8" t="n">
        <v>138</v>
      </c>
      <c r="B139" s="8" t="inlineStr">
        <is>
          <t>AR-138</t>
        </is>
      </c>
      <c r="C139" s="8" t="inlineStr">
        <is>
          <t>B</t>
        </is>
      </c>
      <c r="D139" s="8" t="inlineStr">
        <is>
          <t>top 200 by USD</t>
        </is>
      </c>
      <c r="E139" s="8" t="inlineStr">
        <is>
          <t>EIB Global</t>
        </is>
      </c>
      <c r="F139" s="8" t="inlineStr">
        <is>
          <t>PANAMA CANAL EXPANSION</t>
        </is>
      </c>
      <c r="G139" s="8" t="inlineStr">
        <is>
          <t>Panama</t>
        </is>
      </c>
      <c r="H139" s="8" t="n">
        <v>2009</v>
      </c>
      <c r="I139" s="9" t="n">
        <v>359272832</v>
      </c>
      <c r="J139" s="8" t="inlineStr">
        <is>
          <t>EUR</t>
        </is>
      </c>
      <c r="K139" s="10" t="n">
        <v>501.107279162624</v>
      </c>
      <c r="L139" s="8" t="n">
        <v>22</v>
      </c>
      <c r="M139" s="8" t="inlineStr"/>
      <c r="N139" s="11">
        <f>HYPERLINK("https://www.eib.org/en/projects/loans/all/20060467","Open page")</f>
        <v/>
      </c>
      <c r="O139" s="12" t="n"/>
      <c r="P139" s="13" t="n"/>
      <c r="Q139" s="12" t="n"/>
      <c r="R139" s="12" t="n"/>
      <c r="S139" s="12" t="n"/>
      <c r="T139" s="14" t="n"/>
      <c r="U139" s="15" t="inlineStr">
        <is>
          <t>https://www.eib.org/en/projects/loans/all/20060467</t>
        </is>
      </c>
      <c r="V139" s="15" t="inlineStr">
        <is>
          <t>2009-01-04</t>
        </is>
      </c>
      <c r="W139" s="15" t="inlineStr">
        <is>
          <t>PANAMA CANAL EXPANSION</t>
        </is>
      </c>
    </row>
    <row r="140">
      <c r="A140" s="8" t="n">
        <v>139</v>
      </c>
      <c r="B140" s="8" t="inlineStr">
        <is>
          <t>AR-139</t>
        </is>
      </c>
      <c r="C140" s="8" t="inlineStr">
        <is>
          <t>B</t>
        </is>
      </c>
      <c r="D140" s="8" t="inlineStr">
        <is>
          <t>top 200 by USD</t>
        </is>
      </c>
      <c r="E140" s="8" t="inlineStr">
        <is>
          <t>DFC</t>
        </is>
      </c>
      <c r="F140" s="8" t="inlineStr">
        <is>
          <t>FS India Solar Ventures Private Limited</t>
        </is>
      </c>
      <c r="G140" s="8" t="inlineStr">
        <is>
          <t>India</t>
        </is>
      </c>
      <c r="H140" s="8" t="n">
        <v>2022</v>
      </c>
      <c r="I140" s="9" t="n">
        <v>500000000</v>
      </c>
      <c r="J140" s="8" t="inlineStr">
        <is>
          <t>USD</t>
        </is>
      </c>
      <c r="K140" s="10" t="n">
        <v>500</v>
      </c>
      <c r="L140" s="8" t="n">
        <v>15</v>
      </c>
      <c r="M140" s="8" t="inlineStr"/>
      <c r="N140" s="11">
        <f>HYPERLINK("https://www.dfc.gov/sites/default/files/media/documents/9000115523.pdf","Open page")</f>
        <v/>
      </c>
      <c r="O140" s="12" t="n"/>
      <c r="P140" s="13" t="n"/>
      <c r="Q140" s="12" t="n"/>
      <c r="R140" s="12" t="n"/>
      <c r="S140" s="12" t="n"/>
      <c r="T140" s="14" t="n"/>
      <c r="U140" s="15" t="inlineStr">
        <is>
          <t>https://www.dfc.gov/sites/default/files/media/documents/9000115523.pdf</t>
        </is>
      </c>
      <c r="V140" s="15" t="n"/>
      <c r="W140" s="15" t="inlineStr">
        <is>
          <t>FS India Solar Ventures Private Limited</t>
        </is>
      </c>
    </row>
    <row r="141">
      <c r="A141" s="8" t="n">
        <v>140</v>
      </c>
      <c r="B141" s="8" t="inlineStr">
        <is>
          <t>AR-140</t>
        </is>
      </c>
      <c r="C141" s="8" t="inlineStr">
        <is>
          <t>B</t>
        </is>
      </c>
      <c r="D141" s="8" t="inlineStr">
        <is>
          <t>top 200 by USD</t>
        </is>
      </c>
      <c r="E141" s="8" t="inlineStr">
        <is>
          <t>DFC</t>
        </is>
      </c>
      <c r="F141" s="8" t="inlineStr">
        <is>
          <t>Goldman Sachs Bank Europe SE</t>
        </is>
      </c>
      <c r="G141" s="8" t="inlineStr">
        <is>
          <t>Poland</t>
        </is>
      </c>
      <c r="H141" s="8" t="n">
        <v>2023</v>
      </c>
      <c r="I141" s="9" t="n">
        <v>500000000</v>
      </c>
      <c r="J141" s="8" t="inlineStr">
        <is>
          <t>USD</t>
        </is>
      </c>
      <c r="K141" s="10" t="n">
        <v>500</v>
      </c>
      <c r="L141" s="8" t="n">
        <v>16</v>
      </c>
      <c r="M141" s="8" t="inlineStr"/>
      <c r="N141" s="11">
        <f>HYPERLINK("https://www.dfc.gov/sites/default/files/media/documents/9000116025_2.pdf","Open page")</f>
        <v/>
      </c>
      <c r="O141" s="12" t="n"/>
      <c r="P141" s="13" t="n"/>
      <c r="Q141" s="12" t="n"/>
      <c r="R141" s="12" t="n"/>
      <c r="S141" s="12" t="n"/>
      <c r="T141" s="14" t="n"/>
      <c r="U141" s="15" t="inlineStr">
        <is>
          <t>https://www.dfc.gov/sites/default/files/media/documents/9000116025_2.pdf</t>
        </is>
      </c>
      <c r="V141" s="15" t="n"/>
      <c r="W141" s="15" t="inlineStr">
        <is>
          <t>Goldman Sachs Bank Europe SE</t>
        </is>
      </c>
    </row>
    <row r="142">
      <c r="A142" s="8" t="n">
        <v>141</v>
      </c>
      <c r="B142" s="8" t="inlineStr">
        <is>
          <t>AR-141</t>
        </is>
      </c>
      <c r="C142" s="8" t="inlineStr">
        <is>
          <t>B</t>
        </is>
      </c>
      <c r="D142" s="8" t="inlineStr">
        <is>
          <t>top 200 by USD</t>
        </is>
      </c>
      <c r="E142" s="8" t="inlineStr">
        <is>
          <t>ADB</t>
        </is>
      </c>
      <c r="F142" s="8" t="inlineStr">
        <is>
          <t>Green Energy Corridor and Grid Strengthening Project</t>
        </is>
      </c>
      <c r="G142" s="8" t="inlineStr">
        <is>
          <t>India</t>
        </is>
      </c>
      <c r="H142" s="8" t="n">
        <v>2015</v>
      </c>
      <c r="I142" s="9" t="n">
        <v>500000000</v>
      </c>
      <c r="J142" s="8" t="inlineStr">
        <is>
          <t>USD</t>
        </is>
      </c>
      <c r="K142" s="10" t="n">
        <v>500</v>
      </c>
      <c r="L142" s="8" t="n">
        <v>3</v>
      </c>
      <c r="M142" s="8" t="inlineStr"/>
      <c r="N142" s="11">
        <f>HYPERLINK("https://www.adb.org/projects/44426-018/main","Open page")</f>
        <v/>
      </c>
      <c r="O142" s="12" t="n"/>
      <c r="P142" s="13" t="n"/>
      <c r="Q142" s="12" t="n"/>
      <c r="R142" s="12" t="n"/>
      <c r="S142" s="12" t="n"/>
      <c r="T142" s="14" t="n"/>
      <c r="U142" s="15" t="inlineStr">
        <is>
          <t>https://www.adb.org/projects/44426-018/main</t>
        </is>
      </c>
      <c r="V142" s="15" t="inlineStr">
        <is>
          <t>2015-12-09</t>
        </is>
      </c>
      <c r="W142" s="15" t="inlineStr">
        <is>
          <t>Green Energy Corridor and Grid Strengthening Project</t>
        </is>
      </c>
    </row>
    <row r="143">
      <c r="A143" s="8" t="n">
        <v>142</v>
      </c>
      <c r="B143" s="8" t="inlineStr">
        <is>
          <t>AR-142</t>
        </is>
      </c>
      <c r="C143" s="8" t="inlineStr">
        <is>
          <t>B</t>
        </is>
      </c>
      <c r="D143" s="8" t="inlineStr">
        <is>
          <t>top 200 by USD</t>
        </is>
      </c>
      <c r="E143" s="8" t="inlineStr">
        <is>
          <t>FMO</t>
        </is>
      </c>
      <c r="F143" s="8" t="inlineStr">
        <is>
          <t>GREAT LAKES INSURANCE SE</t>
        </is>
      </c>
      <c r="G143" s="8" t="inlineStr">
        <is>
          <t>Regional — Global</t>
        </is>
      </c>
      <c r="H143" s="8" t="n">
        <v>2019</v>
      </c>
      <c r="I143" s="9" t="n">
        <v>500000000</v>
      </c>
      <c r="J143" s="8" t="inlineStr">
        <is>
          <t>USD</t>
        </is>
      </c>
      <c r="K143" s="10" t="n">
        <v>500</v>
      </c>
      <c r="L143" s="8" t="n">
        <v>1</v>
      </c>
      <c r="M143" s="8" t="inlineStr"/>
      <c r="N143" s="11">
        <f>HYPERLINK("https://www.fmo.nl/project-detail/57392","Open page")</f>
        <v/>
      </c>
      <c r="O143" s="12" t="n"/>
      <c r="P143" s="13" t="n"/>
      <c r="Q143" s="12" t="n"/>
      <c r="R143" s="12" t="n"/>
      <c r="S143" s="12" t="n"/>
      <c r="T143" s="14" t="n"/>
      <c r="U143" s="15" t="inlineStr">
        <is>
          <t>https://www.fmo.nl/project-detail/57392</t>
        </is>
      </c>
      <c r="V143" s="15" t="inlineStr">
        <is>
          <t>2019-12-17</t>
        </is>
      </c>
      <c r="W143" s="15" t="inlineStr">
        <is>
          <t>GREAT LAKES INSURANCE SE</t>
        </is>
      </c>
    </row>
    <row r="144">
      <c r="A144" s="8" t="n">
        <v>143</v>
      </c>
      <c r="B144" s="8" t="inlineStr">
        <is>
          <t>AR-143</t>
        </is>
      </c>
      <c r="C144" s="8" t="inlineStr">
        <is>
          <t>B</t>
        </is>
      </c>
      <c r="D144" s="8" t="inlineStr">
        <is>
          <t>top 200 by USD</t>
        </is>
      </c>
      <c r="E144" s="8" t="inlineStr">
        <is>
          <t>IFC</t>
        </is>
      </c>
      <c r="F144" s="8" t="inlineStr">
        <is>
          <t>DCM BTPN Debt</t>
        </is>
      </c>
      <c r="G144" s="8" t="inlineStr">
        <is>
          <t>Indonesia</t>
        </is>
      </c>
      <c r="H144" s="8" t="n">
        <v>2023</v>
      </c>
      <c r="I144" s="9" t="n">
        <v>500000000</v>
      </c>
      <c r="J144" s="8" t="inlineStr">
        <is>
          <t>USD</t>
        </is>
      </c>
      <c r="K144" s="10" t="n">
        <v>500</v>
      </c>
      <c r="L144" s="8" t="n">
        <v>21</v>
      </c>
      <c r="M144" s="8" t="inlineStr"/>
      <c r="N144" s="11">
        <f>HYPERLINK("https://disclosures.ifc.org/project-detail/SII/47411/dcm-btpn-debt","Open page")</f>
        <v/>
      </c>
      <c r="O144" s="12" t="n"/>
      <c r="P144" s="13" t="n"/>
      <c r="Q144" s="12" t="n"/>
      <c r="R144" s="12" t="n"/>
      <c r="S144" s="12" t="n"/>
      <c r="T144" s="14" t="n"/>
      <c r="U144" s="15" t="inlineStr">
        <is>
          <t>https://disclosures.ifc.org/project-detail/SII/47411/dcm-btpn-debt</t>
        </is>
      </c>
      <c r="V144" s="15" t="inlineStr">
        <is>
          <t>2023-04-27</t>
        </is>
      </c>
      <c r="W144" s="15" t="inlineStr">
        <is>
          <t>DCM BTPN Debt</t>
        </is>
      </c>
    </row>
    <row r="145">
      <c r="A145" s="8" t="n">
        <v>144</v>
      </c>
      <c r="B145" s="8" t="inlineStr">
        <is>
          <t>AR-144</t>
        </is>
      </c>
      <c r="C145" s="8" t="inlineStr">
        <is>
          <t>B</t>
        </is>
      </c>
      <c r="D145" s="8" t="inlineStr">
        <is>
          <t>top 200 by USD</t>
        </is>
      </c>
      <c r="E145" s="8" t="inlineStr">
        <is>
          <t>IFC</t>
        </is>
      </c>
      <c r="F145" s="8" t="inlineStr">
        <is>
          <t>HDFC Bank Loan</t>
        </is>
      </c>
      <c r="G145" s="8" t="inlineStr">
        <is>
          <t>India</t>
        </is>
      </c>
      <c r="H145" s="8" t="n">
        <v>2024</v>
      </c>
      <c r="I145" s="9" t="n">
        <v>500000000</v>
      </c>
      <c r="J145" s="8" t="inlineStr">
        <is>
          <t>USD</t>
        </is>
      </c>
      <c r="K145" s="10" t="n">
        <v>500</v>
      </c>
      <c r="L145" s="8" t="n">
        <v>22</v>
      </c>
      <c r="M145" s="8" t="inlineStr"/>
      <c r="N145" s="11">
        <f>HYPERLINK("https://disclosures.ifc.org/project-detail/SII/48034/hdfc-bank-loan","Open page")</f>
        <v/>
      </c>
      <c r="O145" s="12" t="n"/>
      <c r="P145" s="13" t="n"/>
      <c r="Q145" s="12" t="n"/>
      <c r="R145" s="12" t="n"/>
      <c r="S145" s="12" t="n"/>
      <c r="T145" s="14" t="n"/>
      <c r="U145" s="15" t="inlineStr">
        <is>
          <t>https://disclosures.ifc.org/project-detail/SII/48034/hdfc-bank-loan</t>
        </is>
      </c>
      <c r="V145" s="15" t="inlineStr">
        <is>
          <t>2024-02-26</t>
        </is>
      </c>
      <c r="W145" s="15" t="inlineStr">
        <is>
          <t>HDFC Bank Loan</t>
        </is>
      </c>
    </row>
    <row r="146">
      <c r="A146" s="8" t="n">
        <v>145</v>
      </c>
      <c r="B146" s="8" t="inlineStr">
        <is>
          <t>AR-145</t>
        </is>
      </c>
      <c r="C146" s="8" t="inlineStr">
        <is>
          <t>B</t>
        </is>
      </c>
      <c r="D146" s="8" t="inlineStr">
        <is>
          <t>top 200 by USD</t>
        </is>
      </c>
      <c r="E146" s="8" t="inlineStr">
        <is>
          <t>IFC</t>
        </is>
      </c>
      <c r="F146" s="8" t="inlineStr">
        <is>
          <t>Axis Debt FY24</t>
        </is>
      </c>
      <c r="G146" s="8" t="inlineStr">
        <is>
          <t>India</t>
        </is>
      </c>
      <c r="H146" s="8" t="n">
        <v>2024</v>
      </c>
      <c r="I146" s="9" t="n">
        <v>500000000</v>
      </c>
      <c r="J146" s="8" t="inlineStr">
        <is>
          <t>USD</t>
        </is>
      </c>
      <c r="K146" s="10" t="n">
        <v>500</v>
      </c>
      <c r="L146" s="8" t="n">
        <v>24</v>
      </c>
      <c r="M146" s="8" t="inlineStr"/>
      <c r="N146" s="11">
        <f>HYPERLINK("https://disclosures.ifc.org/project-detail/SII/48531/axis-debt-fy24","Open page")</f>
        <v/>
      </c>
      <c r="O146" s="12" t="n"/>
      <c r="P146" s="13" t="n"/>
      <c r="Q146" s="12" t="n"/>
      <c r="R146" s="12" t="n"/>
      <c r="S146" s="12" t="n"/>
      <c r="T146" s="14" t="n"/>
      <c r="U146" s="15" t="inlineStr">
        <is>
          <t>https://disclosures.ifc.org/project-detail/SII/48531/axis-debt-fy24</t>
        </is>
      </c>
      <c r="V146" s="15" t="inlineStr">
        <is>
          <t>2024-03-25</t>
        </is>
      </c>
      <c r="W146" s="15" t="inlineStr">
        <is>
          <t>Axis Debt FY24</t>
        </is>
      </c>
    </row>
    <row r="147">
      <c r="A147" s="8" t="n">
        <v>146</v>
      </c>
      <c r="B147" s="8" t="inlineStr">
        <is>
          <t>AR-146</t>
        </is>
      </c>
      <c r="C147" s="8" t="inlineStr">
        <is>
          <t>B</t>
        </is>
      </c>
      <c r="D147" s="8" t="inlineStr">
        <is>
          <t>top 200 by USD</t>
        </is>
      </c>
      <c r="E147" s="8" t="inlineStr">
        <is>
          <t>AfDB</t>
        </is>
      </c>
      <c r="F147" s="8" t="inlineStr">
        <is>
          <t>NIGERIA - Economic Governance and Energy Transition Support Programme - Phase II (EGET-SP II)</t>
        </is>
      </c>
      <c r="G147" s="8" t="inlineStr">
        <is>
          <t>Nigeria</t>
        </is>
      </c>
      <c r="H147" s="8" t="n">
        <v>2025</v>
      </c>
      <c r="I147" s="9" t="n">
        <v>363697200.26</v>
      </c>
      <c r="J147" s="8" t="inlineStr">
        <is>
          <t>XDR</t>
        </is>
      </c>
      <c r="K147" s="10" t="n">
        <v>493.7876881237991</v>
      </c>
      <c r="L147" s="8" t="n">
        <v>29</v>
      </c>
      <c r="M147" s="8" t="inlineStr"/>
      <c r="N147" s="11">
        <f>HYPERLINK("https://mapafrica.afdb.org/en/projects/46002-P-NG-K00-013","Open page")</f>
        <v/>
      </c>
      <c r="O147" s="12" t="n"/>
      <c r="P147" s="13" t="n"/>
      <c r="Q147" s="12" t="n"/>
      <c r="R147" s="12" t="n"/>
      <c r="S147" s="12" t="n"/>
      <c r="T147" s="14" t="n"/>
      <c r="U147" s="15" t="inlineStr">
        <is>
          <t>https://mapafrica.afdb.org/en/projects/46002-P-NG-K00-013</t>
        </is>
      </c>
      <c r="V147" s="15" t="inlineStr">
        <is>
          <t>2025-11-24</t>
        </is>
      </c>
      <c r="W147" s="15" t="inlineStr">
        <is>
          <t>NIGERIA - Economic Governance and Energy Transition Support Programme - Phase II (EGET-SP II)</t>
        </is>
      </c>
    </row>
    <row r="148">
      <c r="A148" s="8" t="n">
        <v>147</v>
      </c>
      <c r="B148" s="8" t="inlineStr">
        <is>
          <t>AR-147</t>
        </is>
      </c>
      <c r="C148" s="8" t="inlineStr">
        <is>
          <t>B</t>
        </is>
      </c>
      <c r="D148" s="8" t="inlineStr">
        <is>
          <t>top 200 by USD</t>
        </is>
      </c>
      <c r="E148" s="8" t="inlineStr">
        <is>
          <t>EBRD</t>
        </is>
      </c>
      <c r="F148" s="8" t="inlineStr">
        <is>
          <t>Banking swap facility</t>
        </is>
      </c>
      <c r="G148" s="8" t="inlineStr">
        <is>
          <t>Regional — Global</t>
        </is>
      </c>
      <c r="H148" s="8" t="n"/>
      <c r="I148" s="9" t="n">
        <v>422288854</v>
      </c>
      <c r="J148" s="8" t="inlineStr">
        <is>
          <t>EUR</t>
        </is>
      </c>
      <c r="K148" s="10" t="n">
        <v>491.9424444453221</v>
      </c>
      <c r="L148" s="8" t="n">
        <v>33</v>
      </c>
      <c r="M148" s="8" t="inlineStr">
        <is>
          <t>Our figure is EBRD's 'Net Cumulative Bank Investment'.</t>
        </is>
      </c>
      <c r="N148" s="11">
        <f>HYPERLINK("https://www.google.com/search?q=site%3Aebrd.com%2Fhome%2Fwork-with-us%2Fprojects%2Fpsd+Banking+swap+facility","Search EBRD")</f>
        <v/>
      </c>
      <c r="O148" s="12" t="n"/>
      <c r="P148" s="13" t="n"/>
      <c r="Q148" s="12" t="n"/>
      <c r="R148" s="12" t="n"/>
      <c r="S148" s="12" t="n"/>
      <c r="T148" s="14" t="n"/>
      <c r="U148" s="15" t="inlineStr">
        <is>
          <t>https://www.ebrd.com/content/dam/ebrd_dxp/assets/pdfs/publications/ebrd-investments-1991-2025.xlsx</t>
        </is>
      </c>
      <c r="V148" s="15" t="n"/>
      <c r="W148" s="15" t="inlineStr">
        <is>
          <t>Banking swap facility</t>
        </is>
      </c>
    </row>
    <row r="149">
      <c r="A149" s="8" t="n">
        <v>148</v>
      </c>
      <c r="B149" s="8" t="inlineStr">
        <is>
          <t>AR-148</t>
        </is>
      </c>
      <c r="C149" s="8" t="inlineStr">
        <is>
          <t>B</t>
        </is>
      </c>
      <c r="D149" s="8" t="inlineStr">
        <is>
          <t>top 200 by USD</t>
        </is>
      </c>
      <c r="E149" s="8" t="inlineStr">
        <is>
          <t>EIB Global</t>
        </is>
      </c>
      <c r="F149" s="8" t="inlineStr">
        <is>
          <t>BANQUE MISR COVID 19 LOAN FOR SMES AND MIDCAPS</t>
        </is>
      </c>
      <c r="G149" s="8" t="inlineStr">
        <is>
          <t>Egypt</t>
        </is>
      </c>
      <c r="H149" s="8" t="n">
        <v>2020</v>
      </c>
      <c r="I149" s="9" t="n">
        <v>425000000</v>
      </c>
      <c r="J149" s="8" t="inlineStr">
        <is>
          <t>EUR</t>
        </is>
      </c>
      <c r="K149" s="10" t="n">
        <v>485.4333</v>
      </c>
      <c r="L149" s="8" t="n">
        <v>23</v>
      </c>
      <c r="M149" s="8" t="inlineStr"/>
      <c r="N149" s="11">
        <f>HYPERLINK("https://www.eib.org/en/projects/loans/all/20200092","Open page")</f>
        <v/>
      </c>
      <c r="O149" s="12" t="n"/>
      <c r="P149" s="13" t="n"/>
      <c r="Q149" s="12" t="n"/>
      <c r="R149" s="12" t="n"/>
      <c r="S149" s="12" t="n"/>
      <c r="T149" s="14" t="n"/>
      <c r="U149" s="15" t="inlineStr">
        <is>
          <t>https://www.eib.org/en/projects/loans/all/20200092</t>
        </is>
      </c>
      <c r="V149" s="15" t="inlineStr">
        <is>
          <t>2020-12-22</t>
        </is>
      </c>
      <c r="W149" s="15" t="inlineStr">
        <is>
          <t>BANQUE MISR COVID 19 LOAN FOR SMES AND MIDCAPS</t>
        </is>
      </c>
    </row>
    <row r="150">
      <c r="A150" s="8" t="n">
        <v>149</v>
      </c>
      <c r="B150" s="8" t="inlineStr">
        <is>
          <t>AR-149</t>
        </is>
      </c>
      <c r="C150" s="8" t="inlineStr">
        <is>
          <t>B</t>
        </is>
      </c>
      <c r="D150" s="8" t="inlineStr">
        <is>
          <t>top 200 by USD</t>
        </is>
      </c>
      <c r="E150" s="8" t="inlineStr">
        <is>
          <t>AfDB</t>
        </is>
      </c>
      <c r="F150" s="8" t="inlineStr">
        <is>
          <t>Nigeria - Economic Governance and Energy Transition Support Program (EGET-SP) Phase I</t>
        </is>
      </c>
      <c r="G150" s="8" t="inlineStr">
        <is>
          <t>Nigeria</t>
        </is>
      </c>
      <c r="H150" s="8" t="n">
        <v>2024</v>
      </c>
      <c r="I150" s="9" t="n">
        <v>363961944.14</v>
      </c>
      <c r="J150" s="8" t="inlineStr">
        <is>
          <t>XDR</t>
        </is>
      </c>
      <c r="K150" s="10" t="n">
        <v>483.572941614393</v>
      </c>
      <c r="L150" s="8" t="n">
        <v>30</v>
      </c>
      <c r="M150" s="8" t="inlineStr"/>
      <c r="N150" s="11">
        <f>HYPERLINK("https://mapafrica.afdb.org/en/projects/46002-P-NG-K00-012","Open page")</f>
        <v/>
      </c>
      <c r="O150" s="12" t="n"/>
      <c r="P150" s="13" t="n"/>
      <c r="Q150" s="12" t="n"/>
      <c r="R150" s="12" t="n"/>
      <c r="S150" s="12" t="n"/>
      <c r="T150" s="14" t="n"/>
      <c r="U150" s="15" t="inlineStr">
        <is>
          <t>https://mapafrica.afdb.org/en/projects/46002-P-NG-K00-012</t>
        </is>
      </c>
      <c r="V150" s="15" t="inlineStr">
        <is>
          <t>2024-07-19</t>
        </is>
      </c>
      <c r="W150" s="15" t="inlineStr">
        <is>
          <t>Nigeria - Economic Governance and Energy Transition Support Program (EGET-SP) Phase I</t>
        </is>
      </c>
    </row>
    <row r="151">
      <c r="A151" s="8" t="n">
        <v>150</v>
      </c>
      <c r="B151" s="8" t="inlineStr">
        <is>
          <t>AR-150</t>
        </is>
      </c>
      <c r="C151" s="8" t="inlineStr">
        <is>
          <t>B</t>
        </is>
      </c>
      <c r="D151" s="8" t="inlineStr">
        <is>
          <t>top 200 by USD</t>
        </is>
      </c>
      <c r="E151" s="8" t="inlineStr">
        <is>
          <t>EBRD</t>
        </is>
      </c>
      <c r="F151" s="8" t="inlineStr">
        <is>
          <t>Azerbaijan: Southern Gas Corridor</t>
        </is>
      </c>
      <c r="G151" s="8" t="inlineStr">
        <is>
          <t>Azerbaijan</t>
        </is>
      </c>
      <c r="H151" s="8" t="n">
        <v>2017</v>
      </c>
      <c r="I151" s="9" t="n">
        <v>425876240.36</v>
      </c>
      <c r="J151" s="8" t="inlineStr">
        <is>
          <t>EUR</t>
        </is>
      </c>
      <c r="K151" s="10" t="n">
        <v>481.1042970861251</v>
      </c>
      <c r="L151" s="8" t="n">
        <v>36</v>
      </c>
      <c r="M151" s="8" t="inlineStr">
        <is>
          <t>Our figure is EBRD's 'Net Cumulative Bank Investment'.</t>
        </is>
      </c>
      <c r="N151" s="11">
        <f>HYPERLINK("https://www.google.com/search?q=site%3Aebrd.com%2Fhome%2Fwork-with-us%2Fprojects%2Fpsd+Azerbaijan%3A+Southern+Gas+Corridor","Search EBRD")</f>
        <v/>
      </c>
      <c r="O151" s="12" t="n"/>
      <c r="P151" s="13" t="n"/>
      <c r="Q151" s="12" t="n"/>
      <c r="R151" s="12" t="n"/>
      <c r="S151" s="12" t="n"/>
      <c r="T151" s="14" t="n"/>
      <c r="U151" s="15" t="inlineStr">
        <is>
          <t>https://www.ebrd.com/content/dam/ebrd_dxp/assets/pdfs/publications/ebrd-investments-1991-2025.xlsx</t>
        </is>
      </c>
      <c r="V151" s="15" t="inlineStr">
        <is>
          <t>2017-10-20</t>
        </is>
      </c>
      <c r="W151" s="15" t="inlineStr">
        <is>
          <t>Azerbaijan: Southern Gas Corridor</t>
        </is>
      </c>
    </row>
    <row r="152">
      <c r="A152" s="8" t="n">
        <v>151</v>
      </c>
      <c r="B152" s="8" t="inlineStr">
        <is>
          <t>AR-151</t>
        </is>
      </c>
      <c r="C152" s="8" t="inlineStr">
        <is>
          <t>B</t>
        </is>
      </c>
      <c r="D152" s="8" t="inlineStr">
        <is>
          <t>top 200 by USD</t>
        </is>
      </c>
      <c r="E152" s="8" t="inlineStr">
        <is>
          <t>AfDB</t>
        </is>
      </c>
      <c r="F152" s="8" t="inlineStr">
        <is>
          <t>South Africa -  Infrastructure Governance and Green Growth Programme (IGGGP)</t>
        </is>
      </c>
      <c r="G152" s="8" t="inlineStr">
        <is>
          <t>South Africa</t>
        </is>
      </c>
      <c r="H152" s="8" t="n">
        <v>2025</v>
      </c>
      <c r="I152" s="9" t="n">
        <v>349928855.27</v>
      </c>
      <c r="J152" s="8" t="inlineStr">
        <is>
          <t>XDR</t>
        </is>
      </c>
      <c r="K152" s="10" t="n">
        <v>475.094557582671</v>
      </c>
      <c r="L152" s="8" t="n">
        <v>31</v>
      </c>
      <c r="M152" s="8" t="inlineStr"/>
      <c r="N152" s="11">
        <f>HYPERLINK("https://mapafrica.afdb.org/en/projects/46002-P-ZA-F00-013","Open page")</f>
        <v/>
      </c>
      <c r="O152" s="12" t="n"/>
      <c r="P152" s="13" t="n"/>
      <c r="Q152" s="12" t="n"/>
      <c r="R152" s="12" t="n"/>
      <c r="S152" s="12" t="n"/>
      <c r="T152" s="14" t="n"/>
      <c r="U152" s="15" t="inlineStr">
        <is>
          <t>https://mapafrica.afdb.org/en/projects/46002-P-ZA-F00-013</t>
        </is>
      </c>
      <c r="V152" s="15" t="inlineStr">
        <is>
          <t>2025-06-27</t>
        </is>
      </c>
      <c r="W152" s="15" t="inlineStr">
        <is>
          <t>South Africa -  Infrastructure Governance and Green Growth Programme (IGGGP)</t>
        </is>
      </c>
    </row>
    <row r="153">
      <c r="A153" s="8" t="n">
        <v>152</v>
      </c>
      <c r="B153" s="8" t="inlineStr">
        <is>
          <t>AR-152</t>
        </is>
      </c>
      <c r="C153" s="8" t="inlineStr">
        <is>
          <t>B</t>
        </is>
      </c>
      <c r="D153" s="8" t="inlineStr">
        <is>
          <t>top 200 by USD</t>
        </is>
      </c>
      <c r="E153" s="8" t="inlineStr">
        <is>
          <t>DFC</t>
        </is>
      </c>
      <c r="F153" s="8" t="inlineStr">
        <is>
          <t>GW1 Management Company S.à.r.l.</t>
        </is>
      </c>
      <c r="G153" s="8" t="inlineStr">
        <is>
          <t>Brazil</t>
        </is>
      </c>
      <c r="H153" s="8" t="n">
        <v>2023</v>
      </c>
      <c r="I153" s="9" t="n">
        <v>467500000</v>
      </c>
      <c r="J153" s="8" t="inlineStr">
        <is>
          <t>USD</t>
        </is>
      </c>
      <c r="K153" s="10" t="n">
        <v>467.5</v>
      </c>
      <c r="L153" s="8" t="n">
        <v>17</v>
      </c>
      <c r="M153" s="8" t="inlineStr"/>
      <c r="N153" s="11">
        <f>HYPERLINK("https://www.dfc.gov/sites/default/files/media/documents/9000115893.pdf","Open page")</f>
        <v/>
      </c>
      <c r="O153" s="12" t="n"/>
      <c r="P153" s="13" t="n"/>
      <c r="Q153" s="12" t="n"/>
      <c r="R153" s="12" t="n"/>
      <c r="S153" s="12" t="n"/>
      <c r="T153" s="14" t="n"/>
      <c r="U153" s="15" t="inlineStr">
        <is>
          <t>https://www.dfc.gov/sites/default/files/media/documents/9000115893.pdf</t>
        </is>
      </c>
      <c r="V153" s="15" t="n"/>
      <c r="W153" s="15" t="inlineStr">
        <is>
          <t>GW1 Management Company S.à.r.l.</t>
        </is>
      </c>
    </row>
    <row r="154">
      <c r="A154" s="8" t="n">
        <v>153</v>
      </c>
      <c r="B154" s="8" t="inlineStr">
        <is>
          <t>AR-153</t>
        </is>
      </c>
      <c r="C154" s="8" t="inlineStr">
        <is>
          <t>B</t>
        </is>
      </c>
      <c r="D154" s="8" t="inlineStr">
        <is>
          <t>top 200 by USD</t>
        </is>
      </c>
      <c r="E154" s="8" t="inlineStr">
        <is>
          <t>EIB Global</t>
        </is>
      </c>
      <c r="F154" s="8" t="inlineStr">
        <is>
          <t>ACADEMIC RESEARCH CENTRES</t>
        </is>
      </c>
      <c r="G154" s="8" t="inlineStr">
        <is>
          <t>Türkiye</t>
        </is>
      </c>
      <c r="H154" s="8" t="n">
        <v>2009</v>
      </c>
      <c r="I154" s="9" t="n">
        <v>335000000</v>
      </c>
      <c r="J154" s="8" t="inlineStr">
        <is>
          <t>EUR</t>
        </is>
      </c>
      <c r="K154" s="10" t="n">
        <v>467.25197</v>
      </c>
      <c r="L154" s="8" t="n">
        <v>24</v>
      </c>
      <c r="M154" s="8" t="inlineStr"/>
      <c r="N154" s="11">
        <f>HYPERLINK("https://www.eib.org/en/projects/loans/all/20080260","Open page")</f>
        <v/>
      </c>
      <c r="O154" s="12" t="n"/>
      <c r="P154" s="13" t="n"/>
      <c r="Q154" s="12" t="n"/>
      <c r="R154" s="12" t="n"/>
      <c r="S154" s="12" t="n"/>
      <c r="T154" s="14" t="n"/>
      <c r="U154" s="15" t="inlineStr">
        <is>
          <t>https://www.eib.org/en/projects/loans/all/20080260</t>
        </is>
      </c>
      <c r="V154" s="15" t="inlineStr">
        <is>
          <t>2009-06-07</t>
        </is>
      </c>
      <c r="W154" s="15" t="inlineStr">
        <is>
          <t>ACADEMIC RESEARCH CENTRES</t>
        </is>
      </c>
    </row>
    <row r="155">
      <c r="A155" s="8" t="n">
        <v>154</v>
      </c>
      <c r="B155" s="8" t="inlineStr">
        <is>
          <t>AR-154</t>
        </is>
      </c>
      <c r="C155" s="8" t="inlineStr">
        <is>
          <t>B</t>
        </is>
      </c>
      <c r="D155" s="8" t="inlineStr">
        <is>
          <t>top 200 by USD</t>
        </is>
      </c>
      <c r="E155" s="8" t="inlineStr">
        <is>
          <t>AfDB</t>
        </is>
      </c>
      <c r="F155" s="8" t="inlineStr">
        <is>
          <t>Morocco - Results-Based Programme for Enhancing Regional Competitiveness in Morocco (PARACT-M)</t>
        </is>
      </c>
      <c r="G155" s="8" t="inlineStr">
        <is>
          <t>Morocco</t>
        </is>
      </c>
      <c r="H155" s="8" t="n">
        <v>2019</v>
      </c>
      <c r="I155" s="9" t="n">
        <v>332987162.01</v>
      </c>
      <c r="J155" s="8" t="inlineStr">
        <is>
          <t>XDR</t>
        </is>
      </c>
      <c r="K155" s="10" t="n">
        <v>459.9118785533517</v>
      </c>
      <c r="L155" s="8" t="n">
        <v>32</v>
      </c>
      <c r="M155" s="8" t="inlineStr"/>
      <c r="N155" s="11">
        <f>HYPERLINK("https://mapafrica.afdb.org/en/projects/46002-P-MA-K00-019","Open page")</f>
        <v/>
      </c>
      <c r="O155" s="12" t="n"/>
      <c r="P155" s="13" t="n"/>
      <c r="Q155" s="12" t="n"/>
      <c r="R155" s="12" t="n"/>
      <c r="S155" s="12" t="n"/>
      <c r="T155" s="14" t="n"/>
      <c r="U155" s="15" t="inlineStr">
        <is>
          <t>https://mapafrica.afdb.org/en/projects/46002-P-MA-K00-019</t>
        </is>
      </c>
      <c r="V155" s="15" t="inlineStr">
        <is>
          <t>2019-12-18</t>
        </is>
      </c>
      <c r="W155" s="15" t="inlineStr">
        <is>
          <t>Morocco - Results-Based Programme for Enhancing Regional Competitiveness in Morocco (PARACT-M)</t>
        </is>
      </c>
    </row>
    <row r="156">
      <c r="A156" s="8" t="n">
        <v>155</v>
      </c>
      <c r="B156" s="8" t="inlineStr">
        <is>
          <t>AR-155</t>
        </is>
      </c>
      <c r="C156" s="8" t="inlineStr">
        <is>
          <t>B</t>
        </is>
      </c>
      <c r="D156" s="8" t="inlineStr">
        <is>
          <t>top 200 by USD</t>
        </is>
      </c>
      <c r="E156" s="8" t="inlineStr">
        <is>
          <t>EIB Global</t>
        </is>
      </c>
      <c r="F156" s="8" t="inlineStr">
        <is>
          <t>ERC REFINERY</t>
        </is>
      </c>
      <c r="G156" s="8" t="inlineStr">
        <is>
          <t>Egypt</t>
        </is>
      </c>
      <c r="H156" s="8" t="n">
        <v>2010</v>
      </c>
      <c r="I156" s="9" t="n">
        <v>346366995</v>
      </c>
      <c r="J156" s="8" t="inlineStr">
        <is>
          <t>EUR</t>
        </is>
      </c>
      <c r="K156" s="10" t="n">
        <v>459.184613510415</v>
      </c>
      <c r="L156" s="8" t="n">
        <v>25</v>
      </c>
      <c r="M156" s="8" t="inlineStr"/>
      <c r="N156" s="11">
        <f>HYPERLINK("https://www.eib.org/en/projects/loans/all/20070433","Open page")</f>
        <v/>
      </c>
      <c r="O156" s="12" t="n"/>
      <c r="P156" s="13" t="n"/>
      <c r="Q156" s="12" t="n"/>
      <c r="R156" s="12" t="n"/>
      <c r="S156" s="12" t="n"/>
      <c r="T156" s="14" t="n"/>
      <c r="U156" s="15" t="inlineStr">
        <is>
          <t>https://www.eib.org/en/projects/loans/all/20070433</t>
        </is>
      </c>
      <c r="V156" s="15" t="inlineStr">
        <is>
          <t>2010-08-08</t>
        </is>
      </c>
      <c r="W156" s="15" t="inlineStr">
        <is>
          <t>ERC REFINERY</t>
        </is>
      </c>
    </row>
    <row r="157">
      <c r="A157" s="8" t="n">
        <v>156</v>
      </c>
      <c r="B157" s="8" t="inlineStr">
        <is>
          <t>AR-156</t>
        </is>
      </c>
      <c r="C157" s="8" t="inlineStr">
        <is>
          <t>B</t>
        </is>
      </c>
      <c r="D157" s="8" t="inlineStr">
        <is>
          <t>top 200 by USD</t>
        </is>
      </c>
      <c r="E157" s="8" t="inlineStr">
        <is>
          <t>EIB Global</t>
        </is>
      </c>
      <c r="F157" s="8" t="inlineStr">
        <is>
          <t>PALESTINIAN PRIVATE SECTOR RECOVERY &amp; RESILIENCE</t>
        </is>
      </c>
      <c r="G157" s="8" t="inlineStr">
        <is>
          <t>West Bank and Gaza</t>
        </is>
      </c>
      <c r="H157" s="8" t="n">
        <v>2025</v>
      </c>
      <c r="I157" s="9" t="n">
        <v>400000000</v>
      </c>
      <c r="J157" s="8" t="inlineStr">
        <is>
          <t>EUR</t>
        </is>
      </c>
      <c r="K157" s="10" t="n">
        <v>451.9932</v>
      </c>
      <c r="L157" s="8" t="n">
        <v>26</v>
      </c>
      <c r="M157" s="8" t="inlineStr"/>
      <c r="N157" s="11">
        <f>HYPERLINK("https://www.eib.org/en/projects/loans/all/20240558","Open page")</f>
        <v/>
      </c>
      <c r="O157" s="12" t="n"/>
      <c r="P157" s="13" t="n"/>
      <c r="Q157" s="12" t="n"/>
      <c r="R157" s="12" t="n"/>
      <c r="S157" s="12" t="n"/>
      <c r="T157" s="14" t="n"/>
      <c r="U157" s="15" t="inlineStr">
        <is>
          <t>https://www.eib.org/en/projects/loans/all/20240558</t>
        </is>
      </c>
      <c r="V157" s="15" t="inlineStr">
        <is>
          <t>2025-09-22</t>
        </is>
      </c>
      <c r="W157" s="15" t="inlineStr">
        <is>
          <t>PALESTINIAN PRIVATE SECTOR RECOVERY &amp; RESILIENCE</t>
        </is>
      </c>
    </row>
    <row r="158">
      <c r="A158" s="8" t="n">
        <v>157</v>
      </c>
      <c r="B158" s="8" t="inlineStr">
        <is>
          <t>AR-157</t>
        </is>
      </c>
      <c r="C158" s="8" t="inlineStr">
        <is>
          <t>B</t>
        </is>
      </c>
      <c r="D158" s="8" t="inlineStr">
        <is>
          <t>top 200 by USD</t>
        </is>
      </c>
      <c r="E158" s="8" t="inlineStr">
        <is>
          <t>IFC</t>
        </is>
      </c>
      <c r="F158" s="8" t="inlineStr">
        <is>
          <t>Tata Ultra Mega</t>
        </is>
      </c>
      <c r="G158" s="8" t="inlineStr">
        <is>
          <t>India</t>
        </is>
      </c>
      <c r="H158" s="8" t="n">
        <v>2008</v>
      </c>
      <c r="I158" s="9" t="n">
        <v>450000000</v>
      </c>
      <c r="J158" s="8" t="inlineStr">
        <is>
          <t>USD</t>
        </is>
      </c>
      <c r="K158" s="10" t="n">
        <v>450</v>
      </c>
      <c r="L158" s="8" t="n">
        <v>25</v>
      </c>
      <c r="M158" s="8" t="inlineStr"/>
      <c r="N158" s="11">
        <f>HYPERLINK("https://disclosures.ifc.org/project-detail/SPI/25797/tata-ultra-mega","Open page")</f>
        <v/>
      </c>
      <c r="O158" s="12" t="n"/>
      <c r="P158" s="13" t="n"/>
      <c r="Q158" s="12" t="n"/>
      <c r="R158" s="12" t="n"/>
      <c r="S158" s="12" t="n"/>
      <c r="T158" s="14" t="n"/>
      <c r="U158" s="15" t="inlineStr">
        <is>
          <t>https://disclosures.ifc.org/project-detail/SPI/25797/tata-ultra-mega</t>
        </is>
      </c>
      <c r="V158" s="15" t="inlineStr">
        <is>
          <t>2008-04-08</t>
        </is>
      </c>
      <c r="W158" s="15" t="inlineStr">
        <is>
          <t>Tata Ultra Mega</t>
        </is>
      </c>
    </row>
    <row r="159">
      <c r="A159" s="8" t="n">
        <v>158</v>
      </c>
      <c r="B159" s="8" t="inlineStr">
        <is>
          <t>AR-158</t>
        </is>
      </c>
      <c r="C159" s="8" t="inlineStr">
        <is>
          <t>B</t>
        </is>
      </c>
      <c r="D159" s="8" t="inlineStr">
        <is>
          <t>top 200 by USD</t>
        </is>
      </c>
      <c r="E159" s="8" t="inlineStr">
        <is>
          <t>IFC</t>
        </is>
      </c>
      <c r="F159" s="8" t="inlineStr">
        <is>
          <t>Reko Diq Copper</t>
        </is>
      </c>
      <c r="G159" s="8" t="inlineStr">
        <is>
          <t>Pakistan</t>
        </is>
      </c>
      <c r="H159" s="8" t="n">
        <v>2025</v>
      </c>
      <c r="I159" s="9" t="n">
        <v>450000000</v>
      </c>
      <c r="J159" s="8" t="inlineStr">
        <is>
          <t>USD</t>
        </is>
      </c>
      <c r="K159" s="10" t="n">
        <v>450</v>
      </c>
      <c r="L159" s="8" t="n">
        <v>26</v>
      </c>
      <c r="M159" s="8" t="inlineStr"/>
      <c r="N159" s="11">
        <f>HYPERLINK("https://disclosures.ifc.org/project-detail/SII/46824/reko-diq-copper","Open page")</f>
        <v/>
      </c>
      <c r="O159" s="12" t="n"/>
      <c r="P159" s="13" t="n"/>
      <c r="Q159" s="12" t="n"/>
      <c r="R159" s="12" t="n"/>
      <c r="S159" s="12" t="n"/>
      <c r="T159" s="14" t="n"/>
      <c r="U159" s="15" t="inlineStr">
        <is>
          <t>https://disclosures.ifc.org/project-detail/SII/46824/reko-diq-copper</t>
        </is>
      </c>
      <c r="V159" s="15" t="inlineStr">
        <is>
          <t>2025-06-12</t>
        </is>
      </c>
      <c r="W159" s="15" t="inlineStr">
        <is>
          <t>Reko Diq Copper</t>
        </is>
      </c>
    </row>
    <row r="160">
      <c r="A160" s="8" t="n">
        <v>159</v>
      </c>
      <c r="B160" s="8" t="inlineStr">
        <is>
          <t>AR-159</t>
        </is>
      </c>
      <c r="C160" s="8" t="inlineStr">
        <is>
          <t>B</t>
        </is>
      </c>
      <c r="D160" s="8" t="inlineStr">
        <is>
          <t>top 200 by USD</t>
        </is>
      </c>
      <c r="E160" s="8" t="inlineStr">
        <is>
          <t>IFC</t>
        </is>
      </c>
      <c r="F160" s="8" t="inlineStr">
        <is>
          <t>Otokoc EV</t>
        </is>
      </c>
      <c r="G160" s="8" t="inlineStr">
        <is>
          <t>Türkiye</t>
        </is>
      </c>
      <c r="H160" s="8" t="n">
        <v>2025</v>
      </c>
      <c r="I160" s="9" t="n">
        <v>450000000</v>
      </c>
      <c r="J160" s="8" t="inlineStr">
        <is>
          <t>USD</t>
        </is>
      </c>
      <c r="K160" s="10" t="n">
        <v>450</v>
      </c>
      <c r="L160" s="8" t="n">
        <v>27</v>
      </c>
      <c r="M160" s="8" t="inlineStr"/>
      <c r="N160" s="11">
        <f>HYPERLINK("https://disclosures.ifc.org/project-detail/SII/49703/otokoc-ev","Open page")</f>
        <v/>
      </c>
      <c r="O160" s="12" t="n"/>
      <c r="P160" s="13" t="n"/>
      <c r="Q160" s="12" t="n"/>
      <c r="R160" s="12" t="n"/>
      <c r="S160" s="12" t="n"/>
      <c r="T160" s="14" t="n"/>
      <c r="U160" s="15" t="inlineStr">
        <is>
          <t>https://disclosures.ifc.org/project-detail/SII/49703/otokoc-ev</t>
        </is>
      </c>
      <c r="V160" s="15" t="inlineStr">
        <is>
          <t>2025-08-26</t>
        </is>
      </c>
      <c r="W160" s="15" t="inlineStr">
        <is>
          <t>Otokoc EV</t>
        </is>
      </c>
    </row>
    <row r="161">
      <c r="A161" s="8" t="n">
        <v>160</v>
      </c>
      <c r="B161" s="8" t="inlineStr">
        <is>
          <t>AR-160</t>
        </is>
      </c>
      <c r="C161" s="8" t="inlineStr">
        <is>
          <t>B</t>
        </is>
      </c>
      <c r="D161" s="8" t="inlineStr">
        <is>
          <t>top 200 by USD</t>
        </is>
      </c>
      <c r="E161" s="8" t="inlineStr">
        <is>
          <t>AfDB</t>
        </is>
      </c>
      <c r="F161" s="8" t="inlineStr">
        <is>
          <t>Egypt - Suez 650 MW Steam Cycle Thermal Power Plant Project</t>
        </is>
      </c>
      <c r="G161" s="8" t="inlineStr">
        <is>
          <t>Egypt</t>
        </is>
      </c>
      <c r="H161" s="8" t="n">
        <v>2010</v>
      </c>
      <c r="I161" s="9" t="n">
        <v>296370641.31</v>
      </c>
      <c r="J161" s="8" t="inlineStr">
        <is>
          <t>XDR</t>
        </is>
      </c>
      <c r="K161" s="10" t="n">
        <v>448.815104451266</v>
      </c>
      <c r="L161" s="8" t="n">
        <v>33</v>
      </c>
      <c r="M161" s="8" t="inlineStr"/>
      <c r="N161" s="11">
        <f>HYPERLINK("https://mapafrica.afdb.org/en/projects/46002-P-EG-FAA-016","Open page")</f>
        <v/>
      </c>
      <c r="O161" s="12" t="n"/>
      <c r="P161" s="13" t="n"/>
      <c r="Q161" s="12" t="n"/>
      <c r="R161" s="12" t="n"/>
      <c r="S161" s="12" t="n"/>
      <c r="T161" s="14" t="n"/>
      <c r="U161" s="15" t="inlineStr">
        <is>
          <t>https://mapafrica.afdb.org/en/projects/46002-P-EG-FAA-016</t>
        </is>
      </c>
      <c r="V161" s="15" t="inlineStr">
        <is>
          <t>2010-12-15</t>
        </is>
      </c>
      <c r="W161" s="15" t="inlineStr">
        <is>
          <t>Egypt - Suez 650 MW Steam Cycle Thermal Power Plant Project</t>
        </is>
      </c>
    </row>
    <row r="162">
      <c r="A162" s="8" t="n">
        <v>161</v>
      </c>
      <c r="B162" s="8" t="inlineStr">
        <is>
          <t>AR-161</t>
        </is>
      </c>
      <c r="C162" s="8" t="inlineStr">
        <is>
          <t>B</t>
        </is>
      </c>
      <c r="D162" s="8" t="inlineStr">
        <is>
          <t>top 200 by USD</t>
        </is>
      </c>
      <c r="E162" s="8" t="inlineStr">
        <is>
          <t>AfDB</t>
        </is>
      </c>
      <c r="F162" s="8" t="inlineStr">
        <is>
          <t>Egypt - The Ain Sokhna Thermal Power Project</t>
        </is>
      </c>
      <c r="G162" s="8" t="inlineStr">
        <is>
          <t>Egypt</t>
        </is>
      </c>
      <c r="H162" s="8" t="n">
        <v>2008</v>
      </c>
      <c r="I162" s="9" t="n">
        <v>281817954.98</v>
      </c>
      <c r="J162" s="8" t="inlineStr">
        <is>
          <t>XDR</t>
        </is>
      </c>
      <c r="K162" s="10" t="n">
        <v>445.5654595415792</v>
      </c>
      <c r="L162" s="8" t="n">
        <v>34</v>
      </c>
      <c r="M162" s="8" t="inlineStr"/>
      <c r="N162" s="11">
        <f>HYPERLINK("https://mapafrica.afdb.org/en/projects/46002-P-EG-FAA-014","Open page")</f>
        <v/>
      </c>
      <c r="O162" s="12" t="n"/>
      <c r="P162" s="13" t="n"/>
      <c r="Q162" s="12" t="n"/>
      <c r="R162" s="12" t="n"/>
      <c r="S162" s="12" t="n"/>
      <c r="T162" s="14" t="n"/>
      <c r="U162" s="15" t="inlineStr">
        <is>
          <t>https://mapafrica.afdb.org/en/projects/46002-P-EG-FAA-014</t>
        </is>
      </c>
      <c r="V162" s="15" t="inlineStr">
        <is>
          <t>2008-12-22</t>
        </is>
      </c>
      <c r="W162" s="15" t="inlineStr">
        <is>
          <t>Egypt - The Ain Sokhna Thermal Power Project</t>
        </is>
      </c>
    </row>
    <row r="163">
      <c r="A163" s="8" t="n">
        <v>162</v>
      </c>
      <c r="B163" s="8" t="inlineStr">
        <is>
          <t>AR-162</t>
        </is>
      </c>
      <c r="C163" s="8" t="inlineStr">
        <is>
          <t>B</t>
        </is>
      </c>
      <c r="D163" s="8" t="inlineStr">
        <is>
          <t>top 200 by USD</t>
        </is>
      </c>
      <c r="E163" s="8" t="inlineStr">
        <is>
          <t>EIB Global</t>
        </is>
      </c>
      <c r="F163" s="8" t="inlineStr">
        <is>
          <t>NBE LOAN FOR SMES AND MIDCAPS</t>
        </is>
      </c>
      <c r="G163" s="8" t="inlineStr">
        <is>
          <t>Egypt</t>
        </is>
      </c>
      <c r="H163" s="8" t="n">
        <v>2018</v>
      </c>
      <c r="I163" s="9" t="n">
        <v>375000000</v>
      </c>
      <c r="J163" s="8" t="inlineStr">
        <is>
          <t>EUR</t>
        </is>
      </c>
      <c r="K163" s="10" t="n">
        <v>442.858125</v>
      </c>
      <c r="L163" s="8" t="n">
        <v>27</v>
      </c>
      <c r="M163" s="8" t="inlineStr"/>
      <c r="N163" s="11">
        <f>HYPERLINK("https://www.eib.org/en/projects/loans/all/20170972","Open page")</f>
        <v/>
      </c>
      <c r="O163" s="12" t="n"/>
      <c r="P163" s="13" t="n"/>
      <c r="Q163" s="12" t="n"/>
      <c r="R163" s="12" t="n"/>
      <c r="S163" s="12" t="n"/>
      <c r="T163" s="14" t="n"/>
      <c r="U163" s="15" t="inlineStr">
        <is>
          <t>https://www.eib.org/en/projects/loans/all/20170972</t>
        </is>
      </c>
      <c r="V163" s="15" t="inlineStr">
        <is>
          <t>2018-07-25</t>
        </is>
      </c>
      <c r="W163" s="15" t="inlineStr">
        <is>
          <t>NBE LOAN FOR SMES AND MIDCAPS</t>
        </is>
      </c>
    </row>
    <row r="164">
      <c r="A164" s="8" t="n">
        <v>163</v>
      </c>
      <c r="B164" s="8" t="inlineStr">
        <is>
          <t>AR-163</t>
        </is>
      </c>
      <c r="C164" s="8" t="inlineStr">
        <is>
          <t>B</t>
        </is>
      </c>
      <c r="D164" s="8" t="inlineStr">
        <is>
          <t>top 200 by USD</t>
        </is>
      </c>
      <c r="E164" s="8" t="inlineStr">
        <is>
          <t>EIB Global</t>
        </is>
      </c>
      <c r="F164" s="8" t="inlineStr">
        <is>
          <t>ISTANBUL EARTHQUAKE RISK MITIGATION</t>
        </is>
      </c>
      <c r="G164" s="8" t="inlineStr">
        <is>
          <t>Türkiye</t>
        </is>
      </c>
      <c r="H164" s="8" t="n">
        <v>2008</v>
      </c>
      <c r="I164" s="9" t="n">
        <v>300000000</v>
      </c>
      <c r="J164" s="8" t="inlineStr">
        <is>
          <t>EUR</t>
        </is>
      </c>
      <c r="K164" s="10" t="n">
        <v>441.2265</v>
      </c>
      <c r="L164" s="8" t="n">
        <v>28</v>
      </c>
      <c r="M164" s="8" t="inlineStr"/>
      <c r="N164" s="11">
        <f>HYPERLINK("https://www.eib.org/en/projects/loans/all/20040284","Open page")</f>
        <v/>
      </c>
      <c r="O164" s="12" t="n"/>
      <c r="P164" s="13" t="n"/>
      <c r="Q164" s="12" t="n"/>
      <c r="R164" s="12" t="n"/>
      <c r="S164" s="12" t="n"/>
      <c r="T164" s="14" t="n"/>
      <c r="U164" s="15" t="inlineStr">
        <is>
          <t>https://www.eib.org/en/projects/loans/all/20040284</t>
        </is>
      </c>
      <c r="V164" s="15" t="inlineStr">
        <is>
          <t>2008-03-11</t>
        </is>
      </c>
      <c r="W164" s="15" t="inlineStr">
        <is>
          <t>ISTANBUL EARTHQUAKE RISK MITIGATION</t>
        </is>
      </c>
    </row>
    <row r="165">
      <c r="A165" s="8" t="n">
        <v>164</v>
      </c>
      <c r="B165" s="8" t="inlineStr">
        <is>
          <t>AR-164</t>
        </is>
      </c>
      <c r="C165" s="8" t="inlineStr">
        <is>
          <t>B</t>
        </is>
      </c>
      <c r="D165" s="8" t="inlineStr">
        <is>
          <t>top 200 by USD</t>
        </is>
      </c>
      <c r="E165" s="8" t="inlineStr">
        <is>
          <t>IFC</t>
        </is>
      </c>
      <c r="F165" s="8" t="inlineStr">
        <is>
          <t>Akbank DPR 2</t>
        </is>
      </c>
      <c r="G165" s="8" t="inlineStr">
        <is>
          <t>Türkiye</t>
        </is>
      </c>
      <c r="H165" s="8" t="n">
        <v>2016</v>
      </c>
      <c r="I165" s="9" t="n">
        <v>440000000</v>
      </c>
      <c r="J165" s="8" t="inlineStr">
        <is>
          <t>USD</t>
        </is>
      </c>
      <c r="K165" s="10" t="n">
        <v>440</v>
      </c>
      <c r="L165" s="8" t="n">
        <v>28</v>
      </c>
      <c r="M165" s="8" t="inlineStr"/>
      <c r="N165" s="11">
        <f>HYPERLINK("https://disclosures.ifc.org/project-detail/SII/38166/akbank-dpr-2","Open page")</f>
        <v/>
      </c>
      <c r="O165" s="12" t="n"/>
      <c r="P165" s="13" t="n"/>
      <c r="Q165" s="12" t="n"/>
      <c r="R165" s="12" t="n"/>
      <c r="S165" s="12" t="n"/>
      <c r="T165" s="14" t="n"/>
      <c r="U165" s="15" t="inlineStr">
        <is>
          <t>https://disclosures.ifc.org/project-detail/SII/38166/akbank-dpr-2</t>
        </is>
      </c>
      <c r="V165" s="15" t="inlineStr">
        <is>
          <t>2016-08-04</t>
        </is>
      </c>
      <c r="W165" s="15" t="inlineStr">
        <is>
          <t>Akbank DPR 2</t>
        </is>
      </c>
    </row>
    <row r="166">
      <c r="A166" s="8" t="n">
        <v>165</v>
      </c>
      <c r="B166" s="8" t="inlineStr">
        <is>
          <t>AR-165</t>
        </is>
      </c>
      <c r="C166" s="8" t="inlineStr">
        <is>
          <t>B</t>
        </is>
      </c>
      <c r="D166" s="8" t="inlineStr">
        <is>
          <t>top 200 by USD</t>
        </is>
      </c>
      <c r="E166" s="8" t="inlineStr">
        <is>
          <t>AfDB</t>
        </is>
      </c>
      <c r="F166" s="8" t="inlineStr">
        <is>
          <t>SENEGAL - Partial Credit Guarantee to mobilise Sustainable Financing (Senegal Sustainable PCG)</t>
        </is>
      </c>
      <c r="G166" s="8" t="inlineStr">
        <is>
          <t>Senegal</t>
        </is>
      </c>
      <c r="H166" s="8" t="n">
        <v>2023</v>
      </c>
      <c r="I166" s="9" t="n">
        <v>329388901.24</v>
      </c>
      <c r="J166" s="8" t="inlineStr">
        <is>
          <t>XDR</t>
        </is>
      </c>
      <c r="K166" s="10" t="n">
        <v>438.3853356048222</v>
      </c>
      <c r="L166" s="8" t="n">
        <v>35</v>
      </c>
      <c r="M166" s="8" t="inlineStr"/>
      <c r="N166" s="11">
        <f>HYPERLINK("https://mapafrica.afdb.org/en/projects/46002-P-SN-H00-010","Open page")</f>
        <v/>
      </c>
      <c r="O166" s="12" t="n"/>
      <c r="P166" s="13" t="n"/>
      <c r="Q166" s="12" t="n"/>
      <c r="R166" s="12" t="n"/>
      <c r="S166" s="12" t="n"/>
      <c r="T166" s="14" t="n"/>
      <c r="U166" s="15" t="inlineStr">
        <is>
          <t>https://mapafrica.afdb.org/en/projects/46002-P-SN-H00-010</t>
        </is>
      </c>
      <c r="V166" s="15" t="inlineStr">
        <is>
          <t>2023-12-08</t>
        </is>
      </c>
      <c r="W166" s="15" t="inlineStr">
        <is>
          <t>SENEGAL - Partial Credit Guarantee to mobilise Sustainable Financing (Senegal Sustainable PCG)</t>
        </is>
      </c>
    </row>
    <row r="167">
      <c r="A167" s="8" t="n">
        <v>166</v>
      </c>
      <c r="B167" s="8" t="inlineStr">
        <is>
          <t>AR-166</t>
        </is>
      </c>
      <c r="C167" s="8" t="inlineStr">
        <is>
          <t>B</t>
        </is>
      </c>
      <c r="D167" s="8" t="inlineStr">
        <is>
          <t>top 200 by USD</t>
        </is>
      </c>
      <c r="E167" s="8" t="inlineStr">
        <is>
          <t>AfDB</t>
        </is>
      </c>
      <c r="F167" s="8" t="inlineStr">
        <is>
          <t>Côte d'Ivoire  - Partial Credit Guarantee for the Mobilization of Environmental, Social and Governance Financing</t>
        </is>
      </c>
      <c r="G167" s="8" t="inlineStr">
        <is>
          <t>Côte d'Ivoire</t>
        </is>
      </c>
      <c r="H167" s="8" t="n">
        <v>2023</v>
      </c>
      <c r="I167" s="9" t="n">
        <v>329388901.24</v>
      </c>
      <c r="J167" s="8" t="inlineStr">
        <is>
          <t>XDR</t>
        </is>
      </c>
      <c r="K167" s="10" t="n">
        <v>438.3853356048222</v>
      </c>
      <c r="L167" s="8" t="n">
        <v>36</v>
      </c>
      <c r="M167" s="8" t="inlineStr"/>
      <c r="N167" s="11">
        <f>HYPERLINK("https://mapafrica.afdb.org/en/projects/46002-P-CI-H00-014","Open page")</f>
        <v/>
      </c>
      <c r="O167" s="12" t="n"/>
      <c r="P167" s="13" t="n"/>
      <c r="Q167" s="12" t="n"/>
      <c r="R167" s="12" t="n"/>
      <c r="S167" s="12" t="n"/>
      <c r="T167" s="14" t="n"/>
      <c r="U167" s="15" t="inlineStr">
        <is>
          <t>https://mapafrica.afdb.org/en/projects/46002-P-CI-H00-014</t>
        </is>
      </c>
      <c r="V167" s="15" t="inlineStr">
        <is>
          <t>2023-07-12</t>
        </is>
      </c>
      <c r="W167" s="15" t="inlineStr">
        <is>
          <t>Côte d'Ivoire  - Partial Credit Guarantee for the Mobilization of Environmental, Social and Governance Financing</t>
        </is>
      </c>
    </row>
    <row r="168">
      <c r="A168" s="8" t="n">
        <v>167</v>
      </c>
      <c r="B168" s="8" t="inlineStr">
        <is>
          <t>AR-167</t>
        </is>
      </c>
      <c r="C168" s="8" t="inlineStr">
        <is>
          <t>B</t>
        </is>
      </c>
      <c r="D168" s="8" t="inlineStr">
        <is>
          <t>top 200 by USD</t>
        </is>
      </c>
      <c r="E168" s="8" t="inlineStr">
        <is>
          <t>IFC</t>
        </is>
      </c>
      <c r="F168" s="8" t="inlineStr">
        <is>
          <t>SanChile RSF V</t>
        </is>
      </c>
      <c r="G168" s="8" t="inlineStr">
        <is>
          <t>Chile</t>
        </is>
      </c>
      <c r="H168" s="8" t="n">
        <v>2025</v>
      </c>
      <c r="I168" s="9" t="n">
        <v>436000000</v>
      </c>
      <c r="J168" s="8" t="inlineStr">
        <is>
          <t>USD</t>
        </is>
      </c>
      <c r="K168" s="10" t="n">
        <v>436</v>
      </c>
      <c r="L168" s="8" t="n">
        <v>29</v>
      </c>
      <c r="M168" s="8" t="inlineStr"/>
      <c r="N168" s="11">
        <f>HYPERLINK("https://disclosures.ifc.org/project-detail/SII/52065/sanchile-rsf-v","Open page")</f>
        <v/>
      </c>
      <c r="O168" s="12" t="n"/>
      <c r="P168" s="13" t="n"/>
      <c r="Q168" s="12" t="n"/>
      <c r="R168" s="12" t="n"/>
      <c r="S168" s="12" t="n"/>
      <c r="T168" s="14" t="n"/>
      <c r="U168" s="15" t="inlineStr">
        <is>
          <t>https://disclosures.ifc.org/project-detail/SII/52065/sanchile-rsf-v</t>
        </is>
      </c>
      <c r="V168" s="15" t="inlineStr">
        <is>
          <t>2025-12-19</t>
        </is>
      </c>
      <c r="W168" s="15" t="inlineStr">
        <is>
          <t>SanChile RSF V</t>
        </is>
      </c>
    </row>
    <row r="169">
      <c r="A169" s="8" t="n">
        <v>168</v>
      </c>
      <c r="B169" s="8" t="inlineStr">
        <is>
          <t>AR-168</t>
        </is>
      </c>
      <c r="C169" s="8" t="inlineStr">
        <is>
          <t>B</t>
        </is>
      </c>
      <c r="D169" s="8" t="inlineStr">
        <is>
          <t>top 200 by USD</t>
        </is>
      </c>
      <c r="E169" s="8" t="inlineStr">
        <is>
          <t>EIB Global</t>
        </is>
      </c>
      <c r="F169" s="8" t="inlineStr">
        <is>
          <t>JORDAN WATER SECURITY AND CLIMATE ADAPTATION</t>
        </is>
      </c>
      <c r="G169" s="8" t="inlineStr">
        <is>
          <t>Jordan</t>
        </is>
      </c>
      <c r="H169" s="8" t="n">
        <v>2024</v>
      </c>
      <c r="I169" s="9" t="n">
        <v>400000000</v>
      </c>
      <c r="J169" s="8" t="inlineStr">
        <is>
          <t>EUR</t>
        </is>
      </c>
      <c r="K169" s="10" t="n">
        <v>432.9519999999999</v>
      </c>
      <c r="L169" s="8" t="n">
        <v>29</v>
      </c>
      <c r="M169" s="8" t="inlineStr"/>
      <c r="N169" s="11">
        <f>HYPERLINK("https://www.eib.org/en/projects/loans/all/20230145","Open page")</f>
        <v/>
      </c>
      <c r="O169" s="12" t="n"/>
      <c r="P169" s="13" t="n"/>
      <c r="Q169" s="12" t="n"/>
      <c r="R169" s="12" t="n"/>
      <c r="S169" s="12" t="n"/>
      <c r="T169" s="14" t="n"/>
      <c r="U169" s="15" t="inlineStr">
        <is>
          <t>https://www.eib.org/en/projects/loans/all/20230145</t>
        </is>
      </c>
      <c r="V169" s="15" t="inlineStr">
        <is>
          <t>2024-07-17</t>
        </is>
      </c>
      <c r="W169" s="15" t="inlineStr">
        <is>
          <t>JORDAN WATER SECURITY AND CLIMATE ADAPTATION</t>
        </is>
      </c>
    </row>
    <row r="170">
      <c r="A170" s="8" t="n">
        <v>169</v>
      </c>
      <c r="B170" s="8" t="inlineStr">
        <is>
          <t>AR-169</t>
        </is>
      </c>
      <c r="C170" s="8" t="inlineStr">
        <is>
          <t>B</t>
        </is>
      </c>
      <c r="D170" s="8" t="inlineStr">
        <is>
          <t>top 200 by USD</t>
        </is>
      </c>
      <c r="E170" s="8" t="inlineStr">
        <is>
          <t>EIB Global</t>
        </is>
      </c>
      <c r="F170" s="8" t="inlineStr">
        <is>
          <t>EARTHQUAKE RECONSTRUCTION FRAMEWORK LOAN</t>
        </is>
      </c>
      <c r="G170" s="8" t="inlineStr">
        <is>
          <t>Türkiye</t>
        </is>
      </c>
      <c r="H170" s="8" t="n">
        <v>2023</v>
      </c>
      <c r="I170" s="9" t="n">
        <v>400000000</v>
      </c>
      <c r="J170" s="8" t="inlineStr">
        <is>
          <t>EUR</t>
        </is>
      </c>
      <c r="K170" s="10" t="n">
        <v>432.5076</v>
      </c>
      <c r="L170" s="8" t="n">
        <v>30</v>
      </c>
      <c r="M170" s="8" t="inlineStr"/>
      <c r="N170" s="11">
        <f>HYPERLINK("https://www.eib.org/en/projects/loans/all/20230153","Open page")</f>
        <v/>
      </c>
      <c r="O170" s="12" t="n"/>
      <c r="P170" s="13" t="n"/>
      <c r="Q170" s="12" t="n"/>
      <c r="R170" s="12" t="n"/>
      <c r="S170" s="12" t="n"/>
      <c r="T170" s="14" t="n"/>
      <c r="U170" s="15" t="inlineStr">
        <is>
          <t>https://www.eib.org/en/projects/loans/all/20230153</t>
        </is>
      </c>
      <c r="V170" s="15" t="inlineStr">
        <is>
          <t>2023-11-14</t>
        </is>
      </c>
      <c r="W170" s="15" t="inlineStr">
        <is>
          <t>EARTHQUAKE RECONSTRUCTION FRAMEWORK LOAN</t>
        </is>
      </c>
    </row>
    <row r="171">
      <c r="A171" s="8" t="n">
        <v>170</v>
      </c>
      <c r="B171" s="8" t="inlineStr">
        <is>
          <t>AR-170</t>
        </is>
      </c>
      <c r="C171" s="8" t="inlineStr">
        <is>
          <t>B</t>
        </is>
      </c>
      <c r="D171" s="8" t="inlineStr">
        <is>
          <t>top 200 by USD</t>
        </is>
      </c>
      <c r="E171" s="8" t="inlineStr">
        <is>
          <t>DFC</t>
        </is>
      </c>
      <c r="F171" s="8" t="inlineStr">
        <is>
          <t>TP Solar Limited</t>
        </is>
      </c>
      <c r="G171" s="8" t="inlineStr">
        <is>
          <t>India</t>
        </is>
      </c>
      <c r="H171" s="8" t="n">
        <v>2023</v>
      </c>
      <c r="I171" s="9" t="n">
        <v>425000000</v>
      </c>
      <c r="J171" s="8" t="inlineStr">
        <is>
          <t>USD</t>
        </is>
      </c>
      <c r="K171" s="10" t="n">
        <v>425</v>
      </c>
      <c r="L171" s="8" t="n">
        <v>18</v>
      </c>
      <c r="M171" s="8" t="inlineStr"/>
      <c r="N171" s="11">
        <f>HYPERLINK("https://www.dfc.gov/sites/default/files/media/documents/9000115798.pdf","Open page")</f>
        <v/>
      </c>
      <c r="O171" s="12" t="n"/>
      <c r="P171" s="13" t="n"/>
      <c r="Q171" s="12" t="n"/>
      <c r="R171" s="12" t="n"/>
      <c r="S171" s="12" t="n"/>
      <c r="T171" s="14" t="n"/>
      <c r="U171" s="15" t="inlineStr">
        <is>
          <t>https://www.dfc.gov/sites/default/files/media/documents/9000115798.pdf</t>
        </is>
      </c>
      <c r="V171" s="15" t="n"/>
      <c r="W171" s="15" t="inlineStr">
        <is>
          <t>TP Solar Limited</t>
        </is>
      </c>
    </row>
    <row r="172">
      <c r="A172" s="8" t="n">
        <v>171</v>
      </c>
      <c r="B172" s="8" t="inlineStr">
        <is>
          <t>AR-171</t>
        </is>
      </c>
      <c r="C172" s="8" t="inlineStr">
        <is>
          <t>B</t>
        </is>
      </c>
      <c r="D172" s="8" t="inlineStr">
        <is>
          <t>top 200 by USD</t>
        </is>
      </c>
      <c r="E172" s="8" t="inlineStr">
        <is>
          <t>AfDB</t>
        </is>
      </c>
      <c r="F172" s="8" t="inlineStr">
        <is>
          <t>Sudan - Arrears Clearance Proposal</t>
        </is>
      </c>
      <c r="G172" s="8" t="inlineStr">
        <is>
          <t>Sudan</t>
        </is>
      </c>
      <c r="H172" s="8" t="n">
        <v>2021</v>
      </c>
      <c r="I172" s="9" t="n">
        <v>295556862.48</v>
      </c>
      <c r="J172" s="8" t="inlineStr">
        <is>
          <t>XDR</t>
        </is>
      </c>
      <c r="K172" s="10" t="n">
        <v>420.2259981995513</v>
      </c>
      <c r="L172" s="8" t="n">
        <v>37</v>
      </c>
      <c r="M172" s="8" t="inlineStr"/>
      <c r="N172" s="11">
        <f>HYPERLINK("https://mapafrica.afdb.org/en/projects/46002-P-SD-KF0-007","Open page")</f>
        <v/>
      </c>
      <c r="O172" s="12" t="n"/>
      <c r="P172" s="13" t="n"/>
      <c r="Q172" s="12" t="n"/>
      <c r="R172" s="12" t="n"/>
      <c r="S172" s="12" t="n"/>
      <c r="T172" s="14" t="n"/>
      <c r="U172" s="15" t="inlineStr">
        <is>
          <t>https://mapafrica.afdb.org/en/projects/46002-P-SD-KF0-007</t>
        </is>
      </c>
      <c r="V172" s="15" t="inlineStr">
        <is>
          <t>2021-04-23</t>
        </is>
      </c>
      <c r="W172" s="15" t="inlineStr">
        <is>
          <t>Sudan - Arrears Clearance Proposal</t>
        </is>
      </c>
    </row>
    <row r="173">
      <c r="A173" s="8" t="n">
        <v>172</v>
      </c>
      <c r="B173" s="8" t="inlineStr">
        <is>
          <t>AR-172</t>
        </is>
      </c>
      <c r="C173" s="8" t="inlineStr">
        <is>
          <t>B</t>
        </is>
      </c>
      <c r="D173" s="8" t="inlineStr">
        <is>
          <t>top 200 by USD</t>
        </is>
      </c>
      <c r="E173" s="8" t="inlineStr">
        <is>
          <t>EIB Global</t>
        </is>
      </c>
      <c r="F173" s="8" t="inlineStr">
        <is>
          <t>NBE LOAN FOR SMES AND MIDCAPS</t>
        </is>
      </c>
      <c r="G173" s="8" t="inlineStr">
        <is>
          <t>Egypt</t>
        </is>
      </c>
      <c r="H173" s="8" t="n">
        <v>2019</v>
      </c>
      <c r="I173" s="9" t="n">
        <v>375000000</v>
      </c>
      <c r="J173" s="8" t="inlineStr">
        <is>
          <t>EUR</t>
        </is>
      </c>
      <c r="K173" s="10" t="n">
        <v>419.803125</v>
      </c>
      <c r="L173" s="8" t="n">
        <v>31</v>
      </c>
      <c r="M173" s="8" t="inlineStr"/>
      <c r="N173" s="11">
        <f>HYPERLINK("https://www.eib.org/en/projects/loans/all/20170972","Open page")</f>
        <v/>
      </c>
      <c r="O173" s="12" t="n"/>
      <c r="P173" s="13" t="n"/>
      <c r="Q173" s="12" t="n"/>
      <c r="R173" s="12" t="n"/>
      <c r="S173" s="12" t="n"/>
      <c r="T173" s="14" t="n"/>
      <c r="U173" s="15" t="inlineStr">
        <is>
          <t>https://www.eib.org/en/projects/loans/all/20170972</t>
        </is>
      </c>
      <c r="V173" s="15" t="inlineStr">
        <is>
          <t>2019-04-01</t>
        </is>
      </c>
      <c r="W173" s="15" t="inlineStr">
        <is>
          <t>NBE LOAN FOR SMES AND MIDCAPS</t>
        </is>
      </c>
    </row>
    <row r="174">
      <c r="A174" s="8" t="n">
        <v>173</v>
      </c>
      <c r="B174" s="8" t="inlineStr">
        <is>
          <t>AR-173</t>
        </is>
      </c>
      <c r="C174" s="8" t="inlineStr">
        <is>
          <t>B</t>
        </is>
      </c>
      <c r="D174" s="8" t="inlineStr">
        <is>
          <t>top 200 by USD</t>
        </is>
      </c>
      <c r="E174" s="8" t="inlineStr">
        <is>
          <t>EIB Global</t>
        </is>
      </c>
      <c r="F174" s="8" t="inlineStr">
        <is>
          <t>ISTANBUL-ANKARA RAILWAY</t>
        </is>
      </c>
      <c r="G174" s="8" t="inlineStr">
        <is>
          <t>Türkiye</t>
        </is>
      </c>
      <c r="H174" s="8" t="n">
        <v>2007</v>
      </c>
      <c r="I174" s="9" t="n">
        <v>305748150</v>
      </c>
      <c r="J174" s="8" t="inlineStr">
        <is>
          <t>EUR</t>
        </is>
      </c>
      <c r="K174" s="10" t="n">
        <v>419.0211131157</v>
      </c>
      <c r="L174" s="8" t="n">
        <v>32</v>
      </c>
      <c r="M174" s="8" t="inlineStr"/>
      <c r="N174" s="11">
        <f>HYPERLINK("https://www.eib.org/en/projects/loans/all/20040379","Open page")</f>
        <v/>
      </c>
      <c r="O174" s="12" t="n"/>
      <c r="P174" s="13" t="n"/>
      <c r="Q174" s="12" t="n"/>
      <c r="R174" s="12" t="n"/>
      <c r="S174" s="12" t="n"/>
      <c r="T174" s="14" t="n"/>
      <c r="U174" s="15" t="inlineStr">
        <is>
          <t>https://www.eib.org/en/projects/loans/all/20040379</t>
        </is>
      </c>
      <c r="V174" s="15" t="inlineStr">
        <is>
          <t>2007-12-13</t>
        </is>
      </c>
      <c r="W174" s="15" t="inlineStr">
        <is>
          <t>ISTANBUL-ANKARA RAILWAY</t>
        </is>
      </c>
    </row>
    <row r="175">
      <c r="A175" s="8" t="n">
        <v>174</v>
      </c>
      <c r="B175" s="8" t="inlineStr">
        <is>
          <t>AR-174</t>
        </is>
      </c>
      <c r="C175" s="8" t="inlineStr">
        <is>
          <t>B</t>
        </is>
      </c>
      <c r="D175" s="8" t="inlineStr">
        <is>
          <t>top 200 by USD</t>
        </is>
      </c>
      <c r="E175" s="8" t="inlineStr">
        <is>
          <t>EIB Global</t>
        </is>
      </c>
      <c r="F175" s="8" t="inlineStr">
        <is>
          <t>ENVIRONMENT &amp; ENERGY FRAMEWORK LOAN II</t>
        </is>
      </c>
      <c r="G175" s="8" t="inlineStr">
        <is>
          <t>Türkiye</t>
        </is>
      </c>
      <c r="H175" s="8" t="n">
        <v>2009</v>
      </c>
      <c r="I175" s="9" t="n">
        <v>300000000</v>
      </c>
      <c r="J175" s="8" t="inlineStr">
        <is>
          <t>EUR</t>
        </is>
      </c>
      <c r="K175" s="10" t="n">
        <v>418.4346</v>
      </c>
      <c r="L175" s="8" t="n">
        <v>33</v>
      </c>
      <c r="M175" s="8" t="inlineStr"/>
      <c r="N175" s="11">
        <f>HYPERLINK("https://www.eib.org/en/projects/loans/all/20090570","Open page")</f>
        <v/>
      </c>
      <c r="O175" s="12" t="n"/>
      <c r="P175" s="13" t="n"/>
      <c r="Q175" s="12" t="n"/>
      <c r="R175" s="12" t="n"/>
      <c r="S175" s="12" t="n"/>
      <c r="T175" s="14" t="n"/>
      <c r="U175" s="15" t="inlineStr">
        <is>
          <t>https://www.eib.org/en/projects/loans/all/20090570</t>
        </is>
      </c>
      <c r="V175" s="15" t="inlineStr">
        <is>
          <t>2009-12-09</t>
        </is>
      </c>
      <c r="W175" s="15" t="inlineStr">
        <is>
          <t>ENVIRONMENT &amp; ENERGY FRAMEWORK LOAN II</t>
        </is>
      </c>
    </row>
    <row r="176">
      <c r="A176" s="8" t="n">
        <v>175</v>
      </c>
      <c r="B176" s="8" t="inlineStr">
        <is>
          <t>AR-175</t>
        </is>
      </c>
      <c r="C176" s="8" t="inlineStr">
        <is>
          <t>B</t>
        </is>
      </c>
      <c r="D176" s="8" t="inlineStr">
        <is>
          <t>top 200 by USD</t>
        </is>
      </c>
      <c r="E176" s="8" t="inlineStr">
        <is>
          <t>IFC</t>
        </is>
      </c>
      <c r="F176" s="8" t="inlineStr">
        <is>
          <t>Alcazar Energy Partners III SCSp</t>
        </is>
      </c>
      <c r="G176" s="8" t="inlineStr">
        <is>
          <t>Regional — Europe &amp; Central Asia</t>
        </is>
      </c>
      <c r="H176" s="8" t="n">
        <v>2026</v>
      </c>
      <c r="I176" s="9" t="n">
        <v>416430000</v>
      </c>
      <c r="J176" s="8" t="inlineStr">
        <is>
          <t>USD</t>
        </is>
      </c>
      <c r="K176" s="10" t="n">
        <v>416.43</v>
      </c>
      <c r="L176" s="8" t="n">
        <v>30</v>
      </c>
      <c r="M176" s="8" t="inlineStr"/>
      <c r="N176" s="11">
        <f>HYPERLINK("https://disclosures.ifc.org/project-detail/SII/51835/alcazar-energy-partners-iii-scsp","Open page")</f>
        <v/>
      </c>
      <c r="O176" s="12" t="n"/>
      <c r="P176" s="13" t="n"/>
      <c r="Q176" s="12" t="n"/>
      <c r="R176" s="12" t="n"/>
      <c r="S176" s="12" t="n"/>
      <c r="T176" s="14" t="n"/>
      <c r="U176" s="15" t="inlineStr">
        <is>
          <t>https://disclosures.ifc.org/project-detail/SII/51835/alcazar-energy-partners-iii-scsp</t>
        </is>
      </c>
      <c r="V176" s="15" t="inlineStr">
        <is>
          <t>2026-06-12</t>
        </is>
      </c>
      <c r="W176" s="15" t="inlineStr">
        <is>
          <t>Alcazar Energy Partners III SCSp</t>
        </is>
      </c>
    </row>
    <row r="177">
      <c r="A177" s="8" t="n">
        <v>176</v>
      </c>
      <c r="B177" s="8" t="inlineStr">
        <is>
          <t>AR-176</t>
        </is>
      </c>
      <c r="C177" s="8" t="inlineStr">
        <is>
          <t>B</t>
        </is>
      </c>
      <c r="D177" s="8" t="inlineStr">
        <is>
          <t>top 200 by USD</t>
        </is>
      </c>
      <c r="E177" s="8" t="inlineStr">
        <is>
          <t>EIB Global</t>
        </is>
      </c>
      <c r="F177" s="8" t="inlineStr">
        <is>
          <t>SME DEVELOPMENT GLOBAL LOAN</t>
        </is>
      </c>
      <c r="G177" s="8" t="inlineStr">
        <is>
          <t>Türkiye</t>
        </is>
      </c>
      <c r="H177" s="8" t="n">
        <v>2007</v>
      </c>
      <c r="I177" s="9" t="n">
        <v>300000000</v>
      </c>
      <c r="J177" s="8" t="inlineStr">
        <is>
          <t>EUR</t>
        </is>
      </c>
      <c r="K177" s="10" t="n">
        <v>411.1434</v>
      </c>
      <c r="L177" s="8" t="n">
        <v>34</v>
      </c>
      <c r="M177" s="8" t="inlineStr"/>
      <c r="N177" s="11">
        <f>HYPERLINK("https://www.eib.org/en/projects/loans/all/20060282","Open page")</f>
        <v/>
      </c>
      <c r="O177" s="12" t="n"/>
      <c r="P177" s="13" t="n"/>
      <c r="Q177" s="12" t="n"/>
      <c r="R177" s="12" t="n"/>
      <c r="S177" s="12" t="n"/>
      <c r="T177" s="14" t="n"/>
      <c r="U177" s="15" t="inlineStr">
        <is>
          <t>https://www.eib.org/en/projects/loans/all/20060282</t>
        </is>
      </c>
      <c r="V177" s="15" t="inlineStr">
        <is>
          <t>2007-07-18</t>
        </is>
      </c>
      <c r="W177" s="15" t="inlineStr">
        <is>
          <t>SME DEVELOPMENT GLOBAL LOAN</t>
        </is>
      </c>
    </row>
    <row r="178">
      <c r="A178" s="8" t="n">
        <v>177</v>
      </c>
      <c r="B178" s="8" t="inlineStr">
        <is>
          <t>AR-177</t>
        </is>
      </c>
      <c r="C178" s="8" t="inlineStr">
        <is>
          <t>B</t>
        </is>
      </c>
      <c r="D178" s="8" t="inlineStr">
        <is>
          <t>top 200 by USD</t>
        </is>
      </c>
      <c r="E178" s="8" t="inlineStr">
        <is>
          <t>AfDB</t>
        </is>
      </c>
      <c r="F178" s="8" t="inlineStr">
        <is>
          <t>Sudan - Economic and Financial Reform Support Program (EFRSP)</t>
        </is>
      </c>
      <c r="G178" s="8" t="inlineStr">
        <is>
          <t>Sudan</t>
        </is>
      </c>
      <c r="H178" s="8" t="n">
        <v>2021</v>
      </c>
      <c r="I178" s="9" t="n">
        <v>288705065.66</v>
      </c>
      <c r="J178" s="8" t="inlineStr">
        <is>
          <t>XDR</t>
        </is>
      </c>
      <c r="K178" s="10" t="n">
        <v>410.4840381111102</v>
      </c>
      <c r="L178" s="8" t="n">
        <v>38</v>
      </c>
      <c r="M178" s="8" t="inlineStr"/>
      <c r="N178" s="11">
        <f>HYPERLINK("https://mapafrica.afdb.org/en/projects/46002-P-SD-KF0-006","Open page")</f>
        <v/>
      </c>
      <c r="O178" s="12" t="n"/>
      <c r="P178" s="13" t="n"/>
      <c r="Q178" s="12" t="n"/>
      <c r="R178" s="12" t="n"/>
      <c r="S178" s="12" t="n"/>
      <c r="T178" s="14" t="n"/>
      <c r="U178" s="15" t="inlineStr">
        <is>
          <t>https://mapafrica.afdb.org/en/projects/46002-P-SD-KF0-006</t>
        </is>
      </c>
      <c r="V178" s="15" t="inlineStr">
        <is>
          <t>2021-04-23</t>
        </is>
      </c>
      <c r="W178" s="15" t="inlineStr">
        <is>
          <t>Sudan - Economic and Financial Reform Support Program (EFRSP)</t>
        </is>
      </c>
    </row>
    <row r="179">
      <c r="A179" s="8" t="n">
        <v>178</v>
      </c>
      <c r="B179" s="8" t="inlineStr">
        <is>
          <t>AR-178</t>
        </is>
      </c>
      <c r="C179" s="8" t="inlineStr">
        <is>
          <t>B</t>
        </is>
      </c>
      <c r="D179" s="8" t="inlineStr">
        <is>
          <t>top 200 by USD</t>
        </is>
      </c>
      <c r="E179" s="8" t="inlineStr">
        <is>
          <t>IFC</t>
        </is>
      </c>
      <c r="F179" s="8" t="inlineStr">
        <is>
          <t>Aqaba Amman Water Desalination &amp; Conveyance (AAWDC)</t>
        </is>
      </c>
      <c r="G179" s="8" t="inlineStr">
        <is>
          <t>Jordan</t>
        </is>
      </c>
      <c r="H179" s="8" t="n">
        <v>2026</v>
      </c>
      <c r="I179" s="9" t="n">
        <v>407000000</v>
      </c>
      <c r="J179" s="8" t="inlineStr">
        <is>
          <t>USD</t>
        </is>
      </c>
      <c r="K179" s="10" t="n">
        <v>407</v>
      </c>
      <c r="L179" s="8" t="n">
        <v>31</v>
      </c>
      <c r="M179" s="8" t="inlineStr"/>
      <c r="N179" s="11">
        <f>HYPERLINK("https://disclosures.ifc.org/project-detail/SII/47924/aqaba-amman-water-desalination-&amp;-conveyance-(aawdc)","Open page")</f>
        <v/>
      </c>
      <c r="O179" s="12" t="n"/>
      <c r="P179" s="13" t="n"/>
      <c r="Q179" s="12" t="n"/>
      <c r="R179" s="12" t="n"/>
      <c r="S179" s="12" t="n"/>
      <c r="T179" s="14" t="n"/>
      <c r="U179" s="15" t="inlineStr">
        <is>
          <t>https://disclosures.ifc.org/project-detail/SII/47924/aqaba-amman-water-desalination-&amp;-conveyance-(aawdc)</t>
        </is>
      </c>
      <c r="V179" s="15" t="inlineStr">
        <is>
          <t>2026-02-19</t>
        </is>
      </c>
      <c r="W179" s="15" t="inlineStr">
        <is>
          <t>Aqaba Amman Water Desalination &amp; Conveyance (AAWDC)</t>
        </is>
      </c>
    </row>
    <row r="180">
      <c r="A180" s="8" t="n">
        <v>179</v>
      </c>
      <c r="B180" s="8" t="inlineStr">
        <is>
          <t>AR-179</t>
        </is>
      </c>
      <c r="C180" s="8" t="inlineStr">
        <is>
          <t>B</t>
        </is>
      </c>
      <c r="D180" s="8" t="inlineStr">
        <is>
          <t>top 200 by USD</t>
        </is>
      </c>
      <c r="E180" s="8" t="inlineStr">
        <is>
          <t>IFC</t>
        </is>
      </c>
      <c r="F180" s="8" t="inlineStr">
        <is>
          <t>Moov Africa</t>
        </is>
      </c>
      <c r="G180" s="8" t="inlineStr">
        <is>
          <t>Regional — Africa</t>
        </is>
      </c>
      <c r="H180" s="8" t="n">
        <v>2023</v>
      </c>
      <c r="I180" s="9" t="n">
        <v>406990000</v>
      </c>
      <c r="J180" s="8" t="inlineStr">
        <is>
          <t>USD</t>
        </is>
      </c>
      <c r="K180" s="10" t="n">
        <v>406.99</v>
      </c>
      <c r="L180" s="8" t="n">
        <v>32</v>
      </c>
      <c r="M180" s="8" t="inlineStr"/>
      <c r="N180" s="11">
        <f>HYPERLINK("https://disclosures.ifc.org/project-detail/SII/46232/moov-africa","Open page")</f>
        <v/>
      </c>
      <c r="O180" s="12" t="n"/>
      <c r="P180" s="13" t="n"/>
      <c r="Q180" s="12" t="n"/>
      <c r="R180" s="12" t="n"/>
      <c r="S180" s="12" t="n"/>
      <c r="T180" s="14" t="n"/>
      <c r="U180" s="15" t="inlineStr">
        <is>
          <t>https://disclosures.ifc.org/project-detail/SII/46232/moov-africa</t>
        </is>
      </c>
      <c r="V180" s="15" t="inlineStr">
        <is>
          <t>2023-07-27</t>
        </is>
      </c>
      <c r="W180" s="15" t="inlineStr">
        <is>
          <t>Moov Africa</t>
        </is>
      </c>
    </row>
    <row r="181">
      <c r="A181" s="8" t="n">
        <v>180</v>
      </c>
      <c r="B181" s="8" t="inlineStr">
        <is>
          <t>AR-180</t>
        </is>
      </c>
      <c r="C181" s="8" t="inlineStr">
        <is>
          <t>B</t>
        </is>
      </c>
      <c r="D181" s="8" t="inlineStr">
        <is>
          <t>top 200 by USD</t>
        </is>
      </c>
      <c r="E181" s="8" t="inlineStr">
        <is>
          <t>EIB Global</t>
        </is>
      </c>
      <c r="F181" s="8" t="inlineStr">
        <is>
          <t>DEIR ALI II POWER PLANT</t>
        </is>
      </c>
      <c r="G181" s="8" t="inlineStr">
        <is>
          <t>Syria</t>
        </is>
      </c>
      <c r="H181" s="8" t="n">
        <v>2008</v>
      </c>
      <c r="I181" s="9" t="n">
        <v>275000000</v>
      </c>
      <c r="J181" s="8" t="inlineStr">
        <is>
          <t>EUR</t>
        </is>
      </c>
      <c r="K181" s="10" t="n">
        <v>404.457625</v>
      </c>
      <c r="L181" s="8" t="n">
        <v>35</v>
      </c>
      <c r="M181" s="8" t="inlineStr"/>
      <c r="N181" s="11">
        <f>HYPERLINK("https://www.eib.org/en/projects/loans/all/20080244","Open page")</f>
        <v/>
      </c>
      <c r="O181" s="12" t="n"/>
      <c r="P181" s="13" t="n"/>
      <c r="Q181" s="12" t="n"/>
      <c r="R181" s="12" t="n"/>
      <c r="S181" s="12" t="n"/>
      <c r="T181" s="14" t="n"/>
      <c r="U181" s="15" t="inlineStr">
        <is>
          <t>https://www.eib.org/en/projects/loans/all/20080244</t>
        </is>
      </c>
      <c r="V181" s="15" t="inlineStr">
        <is>
          <t>2008-12-07</t>
        </is>
      </c>
      <c r="W181" s="15" t="inlineStr">
        <is>
          <t>DEIR ALI II POWER PLANT</t>
        </is>
      </c>
    </row>
    <row r="182">
      <c r="A182" s="8" t="n">
        <v>181</v>
      </c>
      <c r="B182" s="8" t="inlineStr">
        <is>
          <t>AR-181</t>
        </is>
      </c>
      <c r="C182" s="8" t="inlineStr">
        <is>
          <t>B</t>
        </is>
      </c>
      <c r="D182" s="8" t="inlineStr">
        <is>
          <t>top 200 by USD</t>
        </is>
      </c>
      <c r="E182" s="8" t="inlineStr">
        <is>
          <t>DFC</t>
        </is>
      </c>
      <c r="F182" s="8" t="inlineStr">
        <is>
          <t>Garanti DPR</t>
        </is>
      </c>
      <c r="G182" s="8" t="inlineStr">
        <is>
          <t>Türkiye</t>
        </is>
      </c>
      <c r="H182" s="8" t="n">
        <v>2012</v>
      </c>
      <c r="I182" s="9" t="n">
        <v>400000000</v>
      </c>
      <c r="J182" s="8" t="inlineStr">
        <is>
          <t>USD</t>
        </is>
      </c>
      <c r="K182" s="10" t="n">
        <v>400</v>
      </c>
      <c r="L182" s="8" t="n">
        <v>19</v>
      </c>
      <c r="M182" s="8" t="inlineStr"/>
      <c r="N182" s="11">
        <f>HYPERLINK("https://www.dfc.gov/sites/default/files/media/documents/9000005591.pdf","Open page")</f>
        <v/>
      </c>
      <c r="O182" s="12" t="n"/>
      <c r="P182" s="13" t="n"/>
      <c r="Q182" s="12" t="n"/>
      <c r="R182" s="12" t="n"/>
      <c r="S182" s="12" t="n"/>
      <c r="T182" s="14" t="n"/>
      <c r="U182" s="15" t="inlineStr">
        <is>
          <t>https://www.dfc.gov/sites/default/files/media/documents/9000005591.pdf</t>
        </is>
      </c>
      <c r="V182" s="15" t="n"/>
      <c r="W182" s="15" t="inlineStr">
        <is>
          <t>Garanti DPR</t>
        </is>
      </c>
    </row>
    <row r="183">
      <c r="A183" s="8" t="n">
        <v>182</v>
      </c>
      <c r="B183" s="8" t="inlineStr">
        <is>
          <t>AR-182</t>
        </is>
      </c>
      <c r="C183" s="8" t="inlineStr">
        <is>
          <t>B</t>
        </is>
      </c>
      <c r="D183" s="8" t="inlineStr">
        <is>
          <t>top 200 by USD</t>
        </is>
      </c>
      <c r="E183" s="8" t="inlineStr">
        <is>
          <t>DFC</t>
        </is>
      </c>
      <c r="F183" s="8" t="inlineStr">
        <is>
          <t>Itaú Unibanco S.A.</t>
        </is>
      </c>
      <c r="G183" s="8" t="inlineStr">
        <is>
          <t>Brazil</t>
        </is>
      </c>
      <c r="H183" s="8" t="n">
        <v>2020</v>
      </c>
      <c r="I183" s="9" t="n">
        <v>400000000</v>
      </c>
      <c r="J183" s="8" t="inlineStr">
        <is>
          <t>USD</t>
        </is>
      </c>
      <c r="K183" s="10" t="n">
        <v>400</v>
      </c>
      <c r="L183" s="8" t="n">
        <v>20</v>
      </c>
      <c r="M183" s="8" t="inlineStr"/>
      <c r="N183" s="11">
        <f>HYPERLINK("https://www.dfc.gov/sites/default/files/media/documents/9000104455.pdf","Open page")</f>
        <v/>
      </c>
      <c r="O183" s="12" t="n"/>
      <c r="P183" s="13" t="n"/>
      <c r="Q183" s="12" t="n"/>
      <c r="R183" s="12" t="n"/>
      <c r="S183" s="12" t="n"/>
      <c r="T183" s="14" t="n"/>
      <c r="U183" s="15" t="inlineStr">
        <is>
          <t>https://www.dfc.gov/sites/default/files/media/documents/9000104455.pdf</t>
        </is>
      </c>
      <c r="V183" s="15" t="n"/>
      <c r="W183" s="15" t="inlineStr">
        <is>
          <t>Itaú Unibanco S.A.</t>
        </is>
      </c>
    </row>
    <row r="184">
      <c r="A184" s="8" t="n">
        <v>183</v>
      </c>
      <c r="B184" s="8" t="inlineStr">
        <is>
          <t>AR-183</t>
        </is>
      </c>
      <c r="C184" s="8" t="inlineStr">
        <is>
          <t>B</t>
        </is>
      </c>
      <c r="D184" s="8" t="inlineStr">
        <is>
          <t>top 200 by USD</t>
        </is>
      </c>
      <c r="E184" s="8" t="inlineStr">
        <is>
          <t>DFC</t>
        </is>
      </c>
      <c r="F184" s="8" t="inlineStr">
        <is>
          <t>Moldova Gas Supply for Energy Security</t>
        </is>
      </c>
      <c r="G184" s="8" t="inlineStr">
        <is>
          <t>Moldova</t>
        </is>
      </c>
      <c r="H184" s="8" t="n">
        <v>2022</v>
      </c>
      <c r="I184" s="9" t="n">
        <v>400000000</v>
      </c>
      <c r="J184" s="8" t="inlineStr">
        <is>
          <t>USD</t>
        </is>
      </c>
      <c r="K184" s="10" t="n">
        <v>400</v>
      </c>
      <c r="L184" s="8" t="n">
        <v>21</v>
      </c>
      <c r="M184" s="8" t="inlineStr"/>
      <c r="N184" s="11">
        <f>HYPERLINK("https://www.dfc.gov/sites/default/files/media/documents/9000115819.pdf","Open page")</f>
        <v/>
      </c>
      <c r="O184" s="12" t="n"/>
      <c r="P184" s="13" t="n"/>
      <c r="Q184" s="12" t="n"/>
      <c r="R184" s="12" t="n"/>
      <c r="S184" s="12" t="n"/>
      <c r="T184" s="14" t="n"/>
      <c r="U184" s="15" t="inlineStr">
        <is>
          <t>https://www.dfc.gov/sites/default/files/media/documents/9000115819.pdf</t>
        </is>
      </c>
      <c r="V184" s="15" t="n"/>
      <c r="W184" s="15" t="inlineStr">
        <is>
          <t>Moldova Gas Supply for Energy Security</t>
        </is>
      </c>
    </row>
    <row r="185">
      <c r="A185" s="8" t="n">
        <v>184</v>
      </c>
      <c r="B185" s="8" t="inlineStr">
        <is>
          <t>AR-184</t>
        </is>
      </c>
      <c r="C185" s="8" t="inlineStr">
        <is>
          <t>B</t>
        </is>
      </c>
      <c r="D185" s="8" t="inlineStr">
        <is>
          <t>top 200 by USD</t>
        </is>
      </c>
      <c r="E185" s="8" t="inlineStr">
        <is>
          <t>DFC</t>
        </is>
      </c>
      <c r="F185" s="8" t="inlineStr">
        <is>
          <t>Banco Daycoval S.A.</t>
        </is>
      </c>
      <c r="G185" s="8" t="inlineStr">
        <is>
          <t>Burundi</t>
        </is>
      </c>
      <c r="H185" s="8" t="n">
        <v>2024</v>
      </c>
      <c r="I185" s="9" t="n">
        <v>400000000</v>
      </c>
      <c r="J185" s="8" t="inlineStr">
        <is>
          <t>USD</t>
        </is>
      </c>
      <c r="K185" s="10" t="n">
        <v>400</v>
      </c>
      <c r="L185" s="8" t="n">
        <v>22</v>
      </c>
      <c r="M185" s="8" t="inlineStr"/>
      <c r="N185" s="11">
        <f>HYPERLINK("https://www.dfc.gov/sites/default/files/media/documents/9000116247.pdf","Open page")</f>
        <v/>
      </c>
      <c r="O185" s="12" t="n"/>
      <c r="P185" s="13" t="n"/>
      <c r="Q185" s="12" t="n"/>
      <c r="R185" s="12" t="n"/>
      <c r="S185" s="12" t="n"/>
      <c r="T185" s="14" t="n"/>
      <c r="U185" s="15" t="inlineStr">
        <is>
          <t>https://www.dfc.gov/sites/default/files/media/documents/9000116247.pdf</t>
        </is>
      </c>
      <c r="V185" s="15" t="n"/>
      <c r="W185" s="15" t="inlineStr">
        <is>
          <t>Banco Daycoval S.A.</t>
        </is>
      </c>
    </row>
    <row r="186">
      <c r="A186" s="8" t="n">
        <v>185</v>
      </c>
      <c r="B186" s="8" t="inlineStr">
        <is>
          <t>AR-185</t>
        </is>
      </c>
      <c r="C186" s="8" t="inlineStr">
        <is>
          <t>B</t>
        </is>
      </c>
      <c r="D186" s="8" t="inlineStr">
        <is>
          <t>top 200 by USD</t>
        </is>
      </c>
      <c r="E186" s="8" t="inlineStr">
        <is>
          <t>ADB</t>
        </is>
      </c>
      <c r="F186" s="8" t="inlineStr">
        <is>
          <t>Tangguh Liquefied Natural Gas Expansion Project</t>
        </is>
      </c>
      <c r="G186" s="8" t="inlineStr">
        <is>
          <t>Indonesia</t>
        </is>
      </c>
      <c r="H186" s="8" t="n">
        <v>2016</v>
      </c>
      <c r="I186" s="9" t="n">
        <v>400000000</v>
      </c>
      <c r="J186" s="8" t="inlineStr">
        <is>
          <t>USD</t>
        </is>
      </c>
      <c r="K186" s="10" t="n">
        <v>400</v>
      </c>
      <c r="L186" s="8" t="n">
        <v>4</v>
      </c>
      <c r="M186" s="8" t="inlineStr"/>
      <c r="N186" s="11">
        <f>HYPERLINK("https://www.adb.org/projects/49222-001/main","Open page")</f>
        <v/>
      </c>
      <c r="O186" s="12" t="n"/>
      <c r="P186" s="13" t="n"/>
      <c r="Q186" s="12" t="n"/>
      <c r="R186" s="12" t="n"/>
      <c r="S186" s="12" t="n"/>
      <c r="T186" s="14" t="n"/>
      <c r="U186" s="15" t="inlineStr">
        <is>
          <t>https://www.adb.org/projects/49222-001/main</t>
        </is>
      </c>
      <c r="V186" s="15" t="inlineStr">
        <is>
          <t>2016-12-01</t>
        </is>
      </c>
      <c r="W186" s="15" t="inlineStr">
        <is>
          <t>Tangguh Liquefied Natural Gas Expansion Project</t>
        </is>
      </c>
    </row>
    <row r="187">
      <c r="A187" s="8" t="n">
        <v>186</v>
      </c>
      <c r="B187" s="8" t="inlineStr">
        <is>
          <t>AR-186</t>
        </is>
      </c>
      <c r="C187" s="8" t="inlineStr">
        <is>
          <t>B</t>
        </is>
      </c>
      <c r="D187" s="8" t="inlineStr">
        <is>
          <t>top 200 by USD</t>
        </is>
      </c>
      <c r="E187" s="8" t="inlineStr">
        <is>
          <t>BII</t>
        </is>
      </c>
      <c r="F187" s="8" t="inlineStr">
        <is>
          <t>Standard Chartered Risk Sharing Facility</t>
        </is>
      </c>
      <c r="G187" s="8" t="inlineStr">
        <is>
          <t>Pakistan</t>
        </is>
      </c>
      <c r="H187" s="8" t="n">
        <v>2019</v>
      </c>
      <c r="I187" s="9" t="n">
        <v>400000000</v>
      </c>
      <c r="J187" s="8" t="inlineStr">
        <is>
          <t>USD</t>
        </is>
      </c>
      <c r="K187" s="10" t="n">
        <v>400</v>
      </c>
      <c r="L187" s="8" t="n">
        <v>2</v>
      </c>
      <c r="M187" s="8" t="inlineStr"/>
      <c r="N187" s="11">
        <f>HYPERLINK("https://d-portal.org/q.html?aid=GB-COH-03877777-F305102-08","Open page")</f>
        <v/>
      </c>
      <c r="O187" s="12" t="n"/>
      <c r="P187" s="13" t="n"/>
      <c r="Q187" s="12" t="n"/>
      <c r="R187" s="12" t="n"/>
      <c r="S187" s="12" t="n"/>
      <c r="T187" s="14" t="n"/>
      <c r="U187" s="15" t="inlineStr">
        <is>
          <t>https://d-portal.org/q.html?aid=GB-COH-03877777-F305102-08</t>
        </is>
      </c>
      <c r="V187" s="15" t="inlineStr">
        <is>
          <t>2019-05-10</t>
        </is>
      </c>
      <c r="W187" s="15" t="inlineStr">
        <is>
          <t>Standard Chartered Risk Sharing Facility</t>
        </is>
      </c>
    </row>
    <row r="188">
      <c r="A188" s="8" t="n">
        <v>187</v>
      </c>
      <c r="B188" s="8" t="inlineStr">
        <is>
          <t>AR-187</t>
        </is>
      </c>
      <c r="C188" s="8" t="inlineStr">
        <is>
          <t>B</t>
        </is>
      </c>
      <c r="D188" s="8" t="inlineStr">
        <is>
          <t>top 200 by USD</t>
        </is>
      </c>
      <c r="E188" s="8" t="inlineStr">
        <is>
          <t>IDB Invest</t>
        </is>
      </c>
      <c r="F188" s="8" t="inlineStr">
        <is>
          <t>Debt Capital Markets (DCM) Program</t>
        </is>
      </c>
      <c r="G188" s="8" t="inlineStr">
        <is>
          <t>Regional — Latin America &amp; Caribbean</t>
        </is>
      </c>
      <c r="H188" s="8" t="n">
        <v>2017</v>
      </c>
      <c r="I188" s="9" t="n">
        <v>400000000</v>
      </c>
      <c r="J188" s="8" t="inlineStr">
        <is>
          <t>USD</t>
        </is>
      </c>
      <c r="K188" s="10" t="n">
        <v>400</v>
      </c>
      <c r="L188" s="8" t="n">
        <v>6</v>
      </c>
      <c r="M188" s="8" t="inlineStr"/>
      <c r="N188" s="11">
        <f>HYPERLINK("https://idbinvest.org/en/projects/debt-capital-markets-dcm-program","Open page")</f>
        <v/>
      </c>
      <c r="O188" s="12" t="n"/>
      <c r="P188" s="13" t="n"/>
      <c r="Q188" s="12" t="n"/>
      <c r="R188" s="12" t="n"/>
      <c r="S188" s="12" t="n"/>
      <c r="T188" s="14" t="n"/>
      <c r="U188" s="15" t="inlineStr">
        <is>
          <t>https://idbinvest.org/en/projects/debt-capital-markets-dcm-program</t>
        </is>
      </c>
      <c r="V188" s="15" t="inlineStr">
        <is>
          <t>2017-08-03</t>
        </is>
      </c>
      <c r="W188" s="15" t="inlineStr">
        <is>
          <t>Debt Capital Markets (DCM) Program</t>
        </is>
      </c>
    </row>
    <row r="189">
      <c r="A189" s="8" t="n">
        <v>188</v>
      </c>
      <c r="B189" s="8" t="inlineStr">
        <is>
          <t>AR-188</t>
        </is>
      </c>
      <c r="C189" s="8" t="inlineStr">
        <is>
          <t>B</t>
        </is>
      </c>
      <c r="D189" s="8" t="inlineStr">
        <is>
          <t>top 200 by USD</t>
        </is>
      </c>
      <c r="E189" s="8" t="inlineStr">
        <is>
          <t>IFC</t>
        </is>
      </c>
      <c r="F189" s="8" t="inlineStr">
        <is>
          <t>Oyu Tolgoi LLC</t>
        </is>
      </c>
      <c r="G189" s="8" t="inlineStr">
        <is>
          <t>Mongolia</t>
        </is>
      </c>
      <c r="H189" s="8" t="n">
        <v>2013</v>
      </c>
      <c r="I189" s="9" t="n">
        <v>400000000</v>
      </c>
      <c r="J189" s="8" t="inlineStr">
        <is>
          <t>USD</t>
        </is>
      </c>
      <c r="K189" s="10" t="n">
        <v>400</v>
      </c>
      <c r="L189" s="8" t="n">
        <v>33</v>
      </c>
      <c r="M189" s="8" t="inlineStr"/>
      <c r="N189" s="11">
        <f>HYPERLINK("https://disclosures.ifc.org/project-detail/SII/29007/oyu-tolgoi-llc","Open page")</f>
        <v/>
      </c>
      <c r="O189" s="12" t="n"/>
      <c r="P189" s="13" t="n"/>
      <c r="Q189" s="12" t="n"/>
      <c r="R189" s="12" t="n"/>
      <c r="S189" s="12" t="n"/>
      <c r="T189" s="14" t="n"/>
      <c r="U189" s="15" t="inlineStr">
        <is>
          <t>https://disclosures.ifc.org/project-detail/SII/29007/oyu-tolgoi-llc</t>
        </is>
      </c>
      <c r="V189" s="15" t="inlineStr">
        <is>
          <t>2013-02-28</t>
        </is>
      </c>
      <c r="W189" s="15" t="inlineStr">
        <is>
          <t>Oyu Tolgoi LLC</t>
        </is>
      </c>
    </row>
    <row r="190">
      <c r="A190" s="8" t="n">
        <v>189</v>
      </c>
      <c r="B190" s="8" t="inlineStr">
        <is>
          <t>AR-189</t>
        </is>
      </c>
      <c r="C190" s="8" t="inlineStr">
        <is>
          <t>B</t>
        </is>
      </c>
      <c r="D190" s="8" t="inlineStr">
        <is>
          <t>top 200 by USD</t>
        </is>
      </c>
      <c r="E190" s="8" t="inlineStr">
        <is>
          <t>IFC</t>
        </is>
      </c>
      <c r="F190" s="8" t="inlineStr">
        <is>
          <t>Amboro</t>
        </is>
      </c>
      <c r="G190" s="8" t="inlineStr">
        <is>
          <t>Colombia</t>
        </is>
      </c>
      <c r="H190" s="8" t="n">
        <v>2019</v>
      </c>
      <c r="I190" s="9" t="n">
        <v>400000000</v>
      </c>
      <c r="J190" s="8" t="inlineStr">
        <is>
          <t>USD</t>
        </is>
      </c>
      <c r="K190" s="10" t="n">
        <v>400</v>
      </c>
      <c r="L190" s="8" t="n">
        <v>34</v>
      </c>
      <c r="M190" s="8" t="inlineStr"/>
      <c r="N190" s="11">
        <f>HYPERLINK("https://disclosures.ifc.org/project-detail/SII/43097/amboro","Open page")</f>
        <v/>
      </c>
      <c r="O190" s="12" t="n"/>
      <c r="P190" s="13" t="n"/>
      <c r="Q190" s="12" t="n"/>
      <c r="R190" s="12" t="n"/>
      <c r="S190" s="12" t="n"/>
      <c r="T190" s="14" t="n"/>
      <c r="U190" s="15" t="inlineStr">
        <is>
          <t>https://disclosures.ifc.org/project-detail/SII/43097/amboro</t>
        </is>
      </c>
      <c r="V190" s="15" t="inlineStr">
        <is>
          <t>2019-11-22</t>
        </is>
      </c>
      <c r="W190" s="15" t="inlineStr">
        <is>
          <t>Amboro</t>
        </is>
      </c>
    </row>
    <row r="191">
      <c r="A191" s="8" t="n">
        <v>190</v>
      </c>
      <c r="B191" s="8" t="inlineStr">
        <is>
          <t>AR-190</t>
        </is>
      </c>
      <c r="C191" s="8" t="inlineStr">
        <is>
          <t>B</t>
        </is>
      </c>
      <c r="D191" s="8" t="inlineStr">
        <is>
          <t>top 200 by USD</t>
        </is>
      </c>
      <c r="E191" s="8" t="inlineStr">
        <is>
          <t>IFC</t>
        </is>
      </c>
      <c r="F191" s="8" t="inlineStr">
        <is>
          <t xml:space="preserve">HDFC Debt </t>
        </is>
      </c>
      <c r="G191" s="8" t="inlineStr">
        <is>
          <t>India</t>
        </is>
      </c>
      <c r="H191" s="8" t="n">
        <v>2022</v>
      </c>
      <c r="I191" s="9" t="n">
        <v>400000000</v>
      </c>
      <c r="J191" s="8" t="inlineStr">
        <is>
          <t>USD</t>
        </is>
      </c>
      <c r="K191" s="10" t="n">
        <v>400</v>
      </c>
      <c r="L191" s="8" t="n">
        <v>36</v>
      </c>
      <c r="M191" s="8" t="inlineStr"/>
      <c r="N191" s="11">
        <f>HYPERLINK("https://disclosures.ifc.org/project-detail/SII/47298/hdfc-debt-","Open page")</f>
        <v/>
      </c>
      <c r="O191" s="12" t="n"/>
      <c r="P191" s="13" t="n"/>
      <c r="Q191" s="12" t="n"/>
      <c r="R191" s="12" t="n"/>
      <c r="S191" s="12" t="n"/>
      <c r="T191" s="14" t="n"/>
      <c r="U191" s="15" t="inlineStr">
        <is>
          <t>https://disclosures.ifc.org/project-detail/SII/47298/hdfc-debt-</t>
        </is>
      </c>
      <c r="V191" s="15" t="inlineStr">
        <is>
          <t>2022-12-12</t>
        </is>
      </c>
      <c r="W191" s="15" t="inlineStr">
        <is>
          <t xml:space="preserve">HDFC Debt </t>
        </is>
      </c>
    </row>
    <row r="192">
      <c r="A192" s="8" t="n">
        <v>191</v>
      </c>
      <c r="B192" s="8" t="inlineStr">
        <is>
          <t>AR-191</t>
        </is>
      </c>
      <c r="C192" s="8" t="inlineStr">
        <is>
          <t>B</t>
        </is>
      </c>
      <c r="D192" s="8" t="inlineStr">
        <is>
          <t>top 200 by USD</t>
        </is>
      </c>
      <c r="E192" s="8" t="inlineStr">
        <is>
          <t>IFC</t>
        </is>
      </c>
      <c r="F192" s="8" t="inlineStr">
        <is>
          <t xml:space="preserve">ALD_Green_Fleet </t>
        </is>
      </c>
      <c r="G192" s="8" t="inlineStr">
        <is>
          <t>Regional — Global</t>
        </is>
      </c>
      <c r="H192" s="8" t="n">
        <v>2022</v>
      </c>
      <c r="I192" s="9" t="n">
        <v>400000000</v>
      </c>
      <c r="J192" s="8" t="inlineStr">
        <is>
          <t>USD</t>
        </is>
      </c>
      <c r="K192" s="10" t="n">
        <v>400</v>
      </c>
      <c r="L192" s="8" t="n">
        <v>37</v>
      </c>
      <c r="M192" s="8" t="inlineStr"/>
      <c r="N192" s="11">
        <f>HYPERLINK("https://disclosures.ifc.org/project-detail/SII/47306/ald_green_fleet-","Open page")</f>
        <v/>
      </c>
      <c r="O192" s="12" t="n"/>
      <c r="P192" s="13" t="n"/>
      <c r="Q192" s="12" t="n"/>
      <c r="R192" s="12" t="n"/>
      <c r="S192" s="12" t="n"/>
      <c r="T192" s="14" t="n"/>
      <c r="U192" s="15" t="inlineStr">
        <is>
          <t>https://disclosures.ifc.org/project-detail/SII/47306/ald_green_fleet-</t>
        </is>
      </c>
      <c r="V192" s="15" t="inlineStr">
        <is>
          <t>2022-12-19</t>
        </is>
      </c>
      <c r="W192" s="15" t="inlineStr">
        <is>
          <t xml:space="preserve">ALD_Green_Fleet </t>
        </is>
      </c>
    </row>
    <row r="193">
      <c r="A193" s="8" t="n">
        <v>192</v>
      </c>
      <c r="B193" s="8" t="inlineStr">
        <is>
          <t>AR-192</t>
        </is>
      </c>
      <c r="C193" s="8" t="inlineStr">
        <is>
          <t>B</t>
        </is>
      </c>
      <c r="D193" s="8" t="inlineStr">
        <is>
          <t>top 200 by USD</t>
        </is>
      </c>
      <c r="E193" s="8" t="inlineStr">
        <is>
          <t>IFC</t>
        </is>
      </c>
      <c r="F193" s="8" t="inlineStr">
        <is>
          <t>DCM BAY Green Blue Bond</t>
        </is>
      </c>
      <c r="G193" s="8" t="inlineStr">
        <is>
          <t>Thailand</t>
        </is>
      </c>
      <c r="H193" s="8" t="n">
        <v>2023</v>
      </c>
      <c r="I193" s="9" t="n">
        <v>400000000</v>
      </c>
      <c r="J193" s="8" t="inlineStr">
        <is>
          <t>USD</t>
        </is>
      </c>
      <c r="K193" s="10" t="n">
        <v>400</v>
      </c>
      <c r="L193" s="8" t="n">
        <v>38</v>
      </c>
      <c r="M193" s="8" t="inlineStr"/>
      <c r="N193" s="11">
        <f>HYPERLINK("https://disclosures.ifc.org/project-detail/SII/47448/dcm-bay-green-blue-bond","Open page")</f>
        <v/>
      </c>
      <c r="O193" s="12" t="n"/>
      <c r="P193" s="13" t="n"/>
      <c r="Q193" s="12" t="n"/>
      <c r="R193" s="12" t="n"/>
      <c r="S193" s="12" t="n"/>
      <c r="T193" s="14" t="n"/>
      <c r="U193" s="15" t="inlineStr">
        <is>
          <t>https://disclosures.ifc.org/project-detail/SII/47448/dcm-bay-green-blue-bond</t>
        </is>
      </c>
      <c r="V193" s="15" t="inlineStr">
        <is>
          <t>2023-03-29</t>
        </is>
      </c>
      <c r="W193" s="15" t="inlineStr">
        <is>
          <t>DCM BAY Green Blue Bond</t>
        </is>
      </c>
    </row>
    <row r="194">
      <c r="A194" s="8" t="n">
        <v>193</v>
      </c>
      <c r="B194" s="8" t="inlineStr">
        <is>
          <t>AR-193</t>
        </is>
      </c>
      <c r="C194" s="8" t="inlineStr">
        <is>
          <t>B</t>
        </is>
      </c>
      <c r="D194" s="8" t="inlineStr">
        <is>
          <t>top 200 by USD</t>
        </is>
      </c>
      <c r="E194" s="8" t="inlineStr">
        <is>
          <t>IFC</t>
        </is>
      </c>
      <c r="F194" s="8" t="inlineStr">
        <is>
          <t xml:space="preserve"> SanCh RSF IV</t>
        </is>
      </c>
      <c r="G194" s="8" t="inlineStr">
        <is>
          <t>Chile</t>
        </is>
      </c>
      <c r="H194" s="8" t="n">
        <v>2023</v>
      </c>
      <c r="I194" s="9" t="n">
        <v>400000000</v>
      </c>
      <c r="J194" s="8" t="inlineStr">
        <is>
          <t>USD</t>
        </is>
      </c>
      <c r="K194" s="10" t="n">
        <v>400</v>
      </c>
      <c r="L194" s="8" t="n">
        <v>40</v>
      </c>
      <c r="M194" s="8" t="inlineStr"/>
      <c r="N194" s="11">
        <f>HYPERLINK("https://disclosures.ifc.org/project-detail/SII/48811/-sanch-rsf-iv","Open page")</f>
        <v/>
      </c>
      <c r="O194" s="12" t="n"/>
      <c r="P194" s="13" t="n"/>
      <c r="Q194" s="12" t="n"/>
      <c r="R194" s="12" t="n"/>
      <c r="S194" s="12" t="n"/>
      <c r="T194" s="14" t="n"/>
      <c r="U194" s="15" t="inlineStr">
        <is>
          <t>https://disclosures.ifc.org/project-detail/SII/48811/-sanch-rsf-iv</t>
        </is>
      </c>
      <c r="V194" s="15" t="inlineStr">
        <is>
          <t>2023-12-20</t>
        </is>
      </c>
      <c r="W194" s="15" t="inlineStr">
        <is>
          <t xml:space="preserve"> SanCh RSF IV</t>
        </is>
      </c>
    </row>
    <row r="195">
      <c r="A195" s="8" t="n">
        <v>194</v>
      </c>
      <c r="B195" s="8" t="inlineStr">
        <is>
          <t>AR-194</t>
        </is>
      </c>
      <c r="C195" s="8" t="inlineStr">
        <is>
          <t>B</t>
        </is>
      </c>
      <c r="D195" s="8" t="inlineStr">
        <is>
          <t>top 200 by USD</t>
        </is>
      </c>
      <c r="E195" s="8" t="inlineStr">
        <is>
          <t>IFC</t>
        </is>
      </c>
      <c r="F195" s="8" t="inlineStr">
        <is>
          <t>Rincon Lithium</t>
        </is>
      </c>
      <c r="G195" s="8" t="inlineStr">
        <is>
          <t>Argentina</t>
        </is>
      </c>
      <c r="H195" s="8" t="n">
        <v>2025</v>
      </c>
      <c r="I195" s="9" t="n">
        <v>400000000</v>
      </c>
      <c r="J195" s="8" t="inlineStr">
        <is>
          <t>USD</t>
        </is>
      </c>
      <c r="K195" s="10" t="n">
        <v>400</v>
      </c>
      <c r="L195" s="8" t="n">
        <v>41</v>
      </c>
      <c r="M195" s="8" t="inlineStr"/>
      <c r="N195" s="11">
        <f>HYPERLINK("https://disclosures.ifc.org/project-detail/SII/49112/rincon-lithium","Open page")</f>
        <v/>
      </c>
      <c r="O195" s="12" t="n"/>
      <c r="P195" s="13" t="n"/>
      <c r="Q195" s="12" t="n"/>
      <c r="R195" s="12" t="n"/>
      <c r="S195" s="12" t="n"/>
      <c r="T195" s="14" t="n"/>
      <c r="U195" s="15" t="inlineStr">
        <is>
          <t>https://disclosures.ifc.org/project-detail/SII/49112/rincon-lithium</t>
        </is>
      </c>
      <c r="V195" s="15" t="inlineStr">
        <is>
          <t>2025-12-04</t>
        </is>
      </c>
      <c r="W195" s="15" t="inlineStr">
        <is>
          <t>Rincon Lithium</t>
        </is>
      </c>
    </row>
    <row r="196">
      <c r="A196" s="8" t="n">
        <v>195</v>
      </c>
      <c r="B196" s="8" t="inlineStr">
        <is>
          <t>AR-195</t>
        </is>
      </c>
      <c r="C196" s="8" t="inlineStr">
        <is>
          <t>B</t>
        </is>
      </c>
      <c r="D196" s="8" t="inlineStr">
        <is>
          <t>top 200 by USD</t>
        </is>
      </c>
      <c r="E196" s="8" t="inlineStr">
        <is>
          <t>IFC</t>
        </is>
      </c>
      <c r="F196" s="8" t="inlineStr">
        <is>
          <t>BFL Loan FY25</t>
        </is>
      </c>
      <c r="G196" s="8" t="inlineStr">
        <is>
          <t>India</t>
        </is>
      </c>
      <c r="H196" s="8" t="n">
        <v>2024</v>
      </c>
      <c r="I196" s="9" t="n">
        <v>400000000</v>
      </c>
      <c r="J196" s="8" t="inlineStr">
        <is>
          <t>USD</t>
        </is>
      </c>
      <c r="K196" s="10" t="n">
        <v>400</v>
      </c>
      <c r="L196" s="8" t="n">
        <v>42</v>
      </c>
      <c r="M196" s="8" t="inlineStr"/>
      <c r="N196" s="11">
        <f>HYPERLINK("https://disclosures.ifc.org/project-detail/SII/50037/bfl-loan-fy25","Open page")</f>
        <v/>
      </c>
      <c r="O196" s="12" t="n"/>
      <c r="P196" s="13" t="n"/>
      <c r="Q196" s="12" t="n"/>
      <c r="R196" s="12" t="n"/>
      <c r="S196" s="12" t="n"/>
      <c r="T196" s="14" t="n"/>
      <c r="U196" s="15" t="inlineStr">
        <is>
          <t>https://disclosures.ifc.org/project-detail/SII/50037/bfl-loan-fy25</t>
        </is>
      </c>
      <c r="V196" s="15" t="inlineStr">
        <is>
          <t>2024-08-09</t>
        </is>
      </c>
      <c r="W196" s="15" t="inlineStr">
        <is>
          <t>BFL Loan FY25</t>
        </is>
      </c>
    </row>
    <row r="197">
      <c r="A197" s="8" t="n">
        <v>196</v>
      </c>
      <c r="B197" s="8" t="inlineStr">
        <is>
          <t>AR-196</t>
        </is>
      </c>
      <c r="C197" s="8" t="inlineStr">
        <is>
          <t>B</t>
        </is>
      </c>
      <c r="D197" s="8" t="inlineStr">
        <is>
          <t>top 200 by USD</t>
        </is>
      </c>
      <c r="E197" s="8" t="inlineStr">
        <is>
          <t>EBRD</t>
        </is>
      </c>
      <c r="F197" s="8" t="inlineStr">
        <is>
          <t>Nuclear Power Plant Safety Upgrade Program</t>
        </is>
      </c>
      <c r="G197" s="8" t="inlineStr">
        <is>
          <t>Ukraine</t>
        </is>
      </c>
      <c r="H197" s="8" t="n">
        <v>2013</v>
      </c>
      <c r="I197" s="9" t="n">
        <v>300000000</v>
      </c>
      <c r="J197" s="8" t="inlineStr">
        <is>
          <t>EUR</t>
        </is>
      </c>
      <c r="K197" s="10" t="n">
        <v>398.4354</v>
      </c>
      <c r="L197" s="8" t="n">
        <v>45</v>
      </c>
      <c r="M197" s="8" t="inlineStr">
        <is>
          <t>Our figure is EBRD's 'Net Cumulative Bank Investment'.</t>
        </is>
      </c>
      <c r="N197" s="11">
        <f>HYPERLINK("https://www.google.com/search?q=site%3Aebrd.com%2Fhome%2Fwork-with-us%2Fprojects%2Fpsd+Nuclear+Power+Plant+Safety+Upgrade+Program","Search EBRD")</f>
        <v/>
      </c>
      <c r="O197" s="12" t="n"/>
      <c r="P197" s="13" t="n"/>
      <c r="Q197" s="12" t="n"/>
      <c r="R197" s="12" t="n"/>
      <c r="S197" s="12" t="n"/>
      <c r="T197" s="14" t="n"/>
      <c r="U197" s="15" t="inlineStr">
        <is>
          <t>https://www.ebrd.com/content/dam/ebrd_dxp/assets/pdfs/publications/ebrd-investments-1991-2025.xlsx</t>
        </is>
      </c>
      <c r="V197" s="15" t="inlineStr">
        <is>
          <t>2013-03-25</t>
        </is>
      </c>
      <c r="W197" s="15" t="inlineStr">
        <is>
          <t>Nuclear Power Plant Safety Upgrade Program</t>
        </is>
      </c>
    </row>
    <row r="198">
      <c r="A198" s="8" t="n">
        <v>197</v>
      </c>
      <c r="B198" s="8" t="inlineStr">
        <is>
          <t>AR-197</t>
        </is>
      </c>
      <c r="C198" s="8" t="inlineStr">
        <is>
          <t>B</t>
        </is>
      </c>
      <c r="D198" s="8" t="inlineStr">
        <is>
          <t>top 200 by USD</t>
        </is>
      </c>
      <c r="E198" s="8" t="inlineStr">
        <is>
          <t>EIB Global</t>
        </is>
      </c>
      <c r="F198" s="8" t="inlineStr">
        <is>
          <t>SBERBANK LOAN FOR SMES AND MIDCAPS</t>
        </is>
      </c>
      <c r="G198" s="8" t="inlineStr">
        <is>
          <t>Russia</t>
        </is>
      </c>
      <c r="H198" s="8" t="n">
        <v>2013</v>
      </c>
      <c r="I198" s="9" t="n">
        <v>300000000</v>
      </c>
      <c r="J198" s="8" t="inlineStr">
        <is>
          <t>EUR</t>
        </is>
      </c>
      <c r="K198" s="10" t="n">
        <v>398.4354</v>
      </c>
      <c r="L198" s="8" t="n">
        <v>36</v>
      </c>
      <c r="M198" s="8" t="inlineStr"/>
      <c r="N198" s="11">
        <f>HYPERLINK("https://www.eib.org/en/projects/loans/all/20120319","Open page")</f>
        <v/>
      </c>
      <c r="O198" s="12" t="n"/>
      <c r="P198" s="13" t="n"/>
      <c r="Q198" s="12" t="n"/>
      <c r="R198" s="12" t="n"/>
      <c r="S198" s="12" t="n"/>
      <c r="T198" s="14" t="n"/>
      <c r="U198" s="15" t="inlineStr">
        <is>
          <t>https://www.eib.org/en/projects/loans/all/20120319</t>
        </is>
      </c>
      <c r="V198" s="15" t="inlineStr">
        <is>
          <t>2013-06-19</t>
        </is>
      </c>
      <c r="W198" s="15" t="inlineStr">
        <is>
          <t>SBERBANK LOAN FOR SMES AND MIDCAPS</t>
        </is>
      </c>
    </row>
    <row r="199">
      <c r="A199" s="8" t="n">
        <v>198</v>
      </c>
      <c r="B199" s="8" t="inlineStr">
        <is>
          <t>AR-198</t>
        </is>
      </c>
      <c r="C199" s="8" t="inlineStr">
        <is>
          <t>B</t>
        </is>
      </c>
      <c r="D199" s="8" t="inlineStr">
        <is>
          <t>top 200 by USD</t>
        </is>
      </c>
      <c r="E199" s="8" t="inlineStr">
        <is>
          <t>EIB Global</t>
        </is>
      </c>
      <c r="F199" s="8" t="inlineStr">
        <is>
          <t>GIZA NORTH POWER PLANT</t>
        </is>
      </c>
      <c r="G199" s="8" t="inlineStr">
        <is>
          <t>Egypt</t>
        </is>
      </c>
      <c r="H199" s="8" t="n">
        <v>2010</v>
      </c>
      <c r="I199" s="9" t="n">
        <v>300000000</v>
      </c>
      <c r="J199" s="8" t="inlineStr">
        <is>
          <t>EUR</t>
        </is>
      </c>
      <c r="K199" s="10" t="n">
        <v>397.7151</v>
      </c>
      <c r="L199" s="8" t="n">
        <v>37</v>
      </c>
      <c r="M199" s="8" t="inlineStr"/>
      <c r="N199" s="11">
        <f>HYPERLINK("https://www.eib.org/en/projects/loans/all/20100121","Open page")</f>
        <v/>
      </c>
      <c r="O199" s="12" t="n"/>
      <c r="P199" s="13" t="n"/>
      <c r="Q199" s="12" t="n"/>
      <c r="R199" s="12" t="n"/>
      <c r="S199" s="12" t="n"/>
      <c r="T199" s="14" t="n"/>
      <c r="U199" s="15" t="inlineStr">
        <is>
          <t>https://www.eib.org/en/projects/loans/all/20100121</t>
        </is>
      </c>
      <c r="V199" s="15" t="inlineStr">
        <is>
          <t>2010-10-23</t>
        </is>
      </c>
      <c r="W199" s="15" t="inlineStr">
        <is>
          <t>GIZA NORTH POWER PLANT</t>
        </is>
      </c>
    </row>
    <row r="200">
      <c r="A200" s="8" t="n">
        <v>199</v>
      </c>
      <c r="B200" s="8" t="inlineStr">
        <is>
          <t>AR-199</t>
        </is>
      </c>
      <c r="C200" s="8" t="inlineStr">
        <is>
          <t>B</t>
        </is>
      </c>
      <c r="D200" s="8" t="inlineStr">
        <is>
          <t>top 200 by USD</t>
        </is>
      </c>
      <c r="E200" s="8" t="inlineStr">
        <is>
          <t>EIB Global</t>
        </is>
      </c>
      <c r="F200" s="8" t="inlineStr">
        <is>
          <t>TUBITAK RESEARCH AND TECHNOLOGY</t>
        </is>
      </c>
      <c r="G200" s="8" t="inlineStr">
        <is>
          <t>Türkiye</t>
        </is>
      </c>
      <c r="H200" s="8" t="n">
        <v>2010</v>
      </c>
      <c r="I200" s="9" t="n">
        <v>300000000</v>
      </c>
      <c r="J200" s="8" t="inlineStr">
        <is>
          <t>EUR</t>
        </is>
      </c>
      <c r="K200" s="10" t="n">
        <v>397.7151</v>
      </c>
      <c r="L200" s="8" t="n">
        <v>38</v>
      </c>
      <c r="M200" s="8" t="inlineStr"/>
      <c r="N200" s="11">
        <f>HYPERLINK("https://www.eib.org/en/projects/loans/all/20100205","Open page")</f>
        <v/>
      </c>
      <c r="O200" s="12" t="n"/>
      <c r="P200" s="13" t="n"/>
      <c r="Q200" s="12" t="n"/>
      <c r="R200" s="12" t="n"/>
      <c r="S200" s="12" t="n"/>
      <c r="T200" s="14" t="n"/>
      <c r="U200" s="15" t="inlineStr">
        <is>
          <t>https://www.eib.org/en/projects/loans/all/20100205</t>
        </is>
      </c>
      <c r="V200" s="15" t="inlineStr">
        <is>
          <t>2010-10-21</t>
        </is>
      </c>
      <c r="W200" s="15" t="inlineStr">
        <is>
          <t>TUBITAK RESEARCH AND TECHNOLOGY</t>
        </is>
      </c>
    </row>
    <row r="201">
      <c r="A201" s="8" t="n">
        <v>200</v>
      </c>
      <c r="B201" s="8" t="inlineStr">
        <is>
          <t>AR-200</t>
        </is>
      </c>
      <c r="C201" s="8" t="inlineStr">
        <is>
          <t>B</t>
        </is>
      </c>
      <c r="D201" s="8" t="inlineStr">
        <is>
          <t>top 200 by USD</t>
        </is>
      </c>
      <c r="E201" s="8" t="inlineStr">
        <is>
          <t>IFC</t>
        </is>
      </c>
      <c r="F201" s="8" t="inlineStr">
        <is>
          <t>Engie SLL</t>
        </is>
      </c>
      <c r="G201" s="8" t="inlineStr">
        <is>
          <t>Regional — Global</t>
        </is>
      </c>
      <c r="H201" s="8" t="n">
        <v>2024</v>
      </c>
      <c r="I201" s="9" t="n">
        <v>396940000</v>
      </c>
      <c r="J201" s="8" t="inlineStr">
        <is>
          <t>USD</t>
        </is>
      </c>
      <c r="K201" s="10" t="n">
        <v>396.94</v>
      </c>
      <c r="L201" s="8" t="n">
        <v>43</v>
      </c>
      <c r="M201" s="8" t="inlineStr"/>
      <c r="N201" s="11">
        <f>HYPERLINK("https://disclosures.ifc.org/project-detail/SII/48736/engie-sll","Open page")</f>
        <v/>
      </c>
      <c r="O201" s="12" t="n"/>
      <c r="P201" s="13" t="n"/>
      <c r="Q201" s="12" t="n"/>
      <c r="R201" s="12" t="n"/>
      <c r="S201" s="12" t="n"/>
      <c r="T201" s="14" t="n"/>
      <c r="U201" s="15" t="inlineStr">
        <is>
          <t>https://disclosures.ifc.org/project-detail/SII/48736/engie-sll</t>
        </is>
      </c>
      <c r="V201" s="15" t="inlineStr">
        <is>
          <t>2024-05-01</t>
        </is>
      </c>
      <c r="W201" s="15" t="inlineStr">
        <is>
          <t>Engie SLL</t>
        </is>
      </c>
    </row>
    <row r="202">
      <c r="A202" s="8" t="n">
        <v>201</v>
      </c>
      <c r="B202" s="8" t="inlineStr">
        <is>
          <t>AR-201</t>
        </is>
      </c>
      <c r="C202" s="8" t="inlineStr">
        <is>
          <t>C</t>
        </is>
      </c>
      <c r="D202" s="8" t="inlineStr">
        <is>
          <t>ADB's top 5</t>
        </is>
      </c>
      <c r="E202" s="8" t="inlineStr">
        <is>
          <t>ADB</t>
        </is>
      </c>
      <c r="F202" s="8" t="inlineStr">
        <is>
          <t>Nationwide Data Connectivity Project</t>
        </is>
      </c>
      <c r="G202" s="8" t="inlineStr">
        <is>
          <t>Myanmar</t>
        </is>
      </c>
      <c r="H202" s="8" t="n">
        <v>2019</v>
      </c>
      <c r="I202" s="9" t="n">
        <v>350000000</v>
      </c>
      <c r="J202" s="8" t="inlineStr">
        <is>
          <t>USD</t>
        </is>
      </c>
      <c r="K202" s="10" t="n">
        <v>350</v>
      </c>
      <c r="L202" s="8" t="n">
        <v>5</v>
      </c>
      <c r="M202" s="8" t="inlineStr"/>
      <c r="N202" s="11">
        <f>HYPERLINK("https://www.adb.org/projects/52200-001/main","Open page")</f>
        <v/>
      </c>
      <c r="O202" s="12" t="n"/>
      <c r="P202" s="13" t="n"/>
      <c r="Q202" s="12" t="n"/>
      <c r="R202" s="12" t="n"/>
      <c r="S202" s="12" t="n"/>
      <c r="T202" s="14" t="n"/>
      <c r="U202" s="15" t="inlineStr">
        <is>
          <t>https://www.adb.org/projects/52200-001/main</t>
        </is>
      </c>
      <c r="V202" s="15" t="inlineStr">
        <is>
          <t>2019-02-19</t>
        </is>
      </c>
      <c r="W202" s="15" t="inlineStr">
        <is>
          <t>Nationwide Data Connectivity Project</t>
        </is>
      </c>
    </row>
    <row r="203">
      <c r="A203" s="8" t="n">
        <v>202</v>
      </c>
      <c r="B203" s="8" t="inlineStr">
        <is>
          <t>AR-202</t>
        </is>
      </c>
      <c r="C203" s="8" t="inlineStr">
        <is>
          <t>C</t>
        </is>
      </c>
      <c r="D203" s="8" t="inlineStr">
        <is>
          <t>BII's top 5</t>
        </is>
      </c>
      <c r="E203" s="8" t="inlineStr">
        <is>
          <t>BII</t>
        </is>
      </c>
      <c r="F203" s="8" t="inlineStr">
        <is>
          <t>Africa Gateway</t>
        </is>
      </c>
      <c r="G203" s="8" t="inlineStr">
        <is>
          <t>DR Congo</t>
        </is>
      </c>
      <c r="H203" s="8" t="n">
        <v>2021</v>
      </c>
      <c r="I203" s="9" t="n">
        <v>325000000</v>
      </c>
      <c r="J203" s="8" t="inlineStr">
        <is>
          <t>USD</t>
        </is>
      </c>
      <c r="K203" s="10" t="n">
        <v>325</v>
      </c>
      <c r="L203" s="8" t="n">
        <v>3</v>
      </c>
      <c r="M203" s="8" t="inlineStr"/>
      <c r="N203" s="11">
        <f>HYPERLINK("https://d-portal.org/q.html?aid=GB-COH-03877777-F352701-01","Open page")</f>
        <v/>
      </c>
      <c r="O203" s="12" t="n"/>
      <c r="P203" s="13" t="n"/>
      <c r="Q203" s="12" t="n"/>
      <c r="R203" s="12" t="n"/>
      <c r="S203" s="12" t="n"/>
      <c r="T203" s="14" t="n"/>
      <c r="U203" s="15" t="inlineStr">
        <is>
          <t>https://d-portal.org/q.html?aid=GB-COH-03877777-F352701-01</t>
        </is>
      </c>
      <c r="V203" s="15" t="inlineStr">
        <is>
          <t>2021-12-01</t>
        </is>
      </c>
      <c r="W203" s="15" t="inlineStr">
        <is>
          <t>Africa Gateway</t>
        </is>
      </c>
    </row>
    <row r="204">
      <c r="A204" s="8" t="n">
        <v>203</v>
      </c>
      <c r="B204" s="8" t="inlineStr">
        <is>
          <t>AR-203</t>
        </is>
      </c>
      <c r="C204" s="8" t="inlineStr">
        <is>
          <t>C</t>
        </is>
      </c>
      <c r="D204" s="8" t="inlineStr">
        <is>
          <t>BII's top 5</t>
        </is>
      </c>
      <c r="E204" s="8" t="inlineStr">
        <is>
          <t>BII</t>
        </is>
      </c>
      <c r="F204" s="8" t="inlineStr">
        <is>
          <t>Standard Chartered Risk Sharing Facility</t>
        </is>
      </c>
      <c r="G204" s="8" t="inlineStr">
        <is>
          <t>Regional — Global</t>
        </is>
      </c>
      <c r="H204" s="8" t="n">
        <v>2019</v>
      </c>
      <c r="I204" s="9" t="n">
        <v>287876926.9</v>
      </c>
      <c r="J204" s="8" t="inlineStr">
        <is>
          <t>USD</t>
        </is>
      </c>
      <c r="K204" s="10" t="n">
        <v>287.8769269</v>
      </c>
      <c r="L204" s="8" t="n">
        <v>4</v>
      </c>
      <c r="M204" s="8" t="inlineStr"/>
      <c r="N204" s="11">
        <f>HYPERLINK("https://d-portal.org/q.html?aid=GB-COH-03877777-F305101","Open page")</f>
        <v/>
      </c>
      <c r="O204" s="12" t="n"/>
      <c r="P204" s="13" t="n"/>
      <c r="Q204" s="12" t="n"/>
      <c r="R204" s="12" t="n"/>
      <c r="S204" s="12" t="n"/>
      <c r="T204" s="14" t="n"/>
      <c r="U204" s="15" t="inlineStr">
        <is>
          <t>https://d-portal.org/q.html?aid=GB-COH-03877777-F305101</t>
        </is>
      </c>
      <c r="V204" s="15" t="inlineStr">
        <is>
          <t>2019-01-01</t>
        </is>
      </c>
      <c r="W204" s="15" t="inlineStr">
        <is>
          <t>Standard Chartered Risk Sharing Facility</t>
        </is>
      </c>
    </row>
    <row r="205">
      <c r="A205" s="8" t="n">
        <v>204</v>
      </c>
      <c r="B205" s="8" t="inlineStr">
        <is>
          <t>AR-204</t>
        </is>
      </c>
      <c r="C205" s="8" t="inlineStr">
        <is>
          <t>C</t>
        </is>
      </c>
      <c r="D205" s="8" t="inlineStr">
        <is>
          <t>FMO's top 5</t>
        </is>
      </c>
      <c r="E205" s="8" t="inlineStr">
        <is>
          <t>FMO</t>
        </is>
      </c>
      <c r="F205" s="8" t="inlineStr">
        <is>
          <t>ARISE B.V.</t>
        </is>
      </c>
      <c r="G205" s="8" t="inlineStr">
        <is>
          <t>Regional — Africa</t>
        </is>
      </c>
      <c r="H205" s="8" t="n">
        <v>2016</v>
      </c>
      <c r="I205" s="9" t="n">
        <v>246680000</v>
      </c>
      <c r="J205" s="8" t="inlineStr">
        <is>
          <t>USD</t>
        </is>
      </c>
      <c r="K205" s="10" t="n">
        <v>246.68</v>
      </c>
      <c r="L205" s="8" t="n">
        <v>2</v>
      </c>
      <c r="M205" s="8" t="inlineStr"/>
      <c r="N205" s="11">
        <f>HYPERLINK("https://www.fmo.nl/project-detail/50227","Open page")</f>
        <v/>
      </c>
      <c r="O205" s="12" t="n"/>
      <c r="P205" s="13" t="n"/>
      <c r="Q205" s="12" t="n"/>
      <c r="R205" s="12" t="n"/>
      <c r="S205" s="12" t="n"/>
      <c r="T205" s="14" t="n"/>
      <c r="U205" s="15" t="inlineStr">
        <is>
          <t>https://www.fmo.nl/project-detail/50227</t>
        </is>
      </c>
      <c r="V205" s="15" t="inlineStr">
        <is>
          <t>2016-07-21</t>
        </is>
      </c>
      <c r="W205" s="15" t="inlineStr">
        <is>
          <t>ARISE B.V.</t>
        </is>
      </c>
    </row>
    <row r="206">
      <c r="A206" s="8" t="n">
        <v>205</v>
      </c>
      <c r="B206" s="8" t="inlineStr">
        <is>
          <t>AR-205</t>
        </is>
      </c>
      <c r="C206" s="8" t="inlineStr">
        <is>
          <t>C</t>
        </is>
      </c>
      <c r="D206" s="8" t="inlineStr">
        <is>
          <t>BII's top 5</t>
        </is>
      </c>
      <c r="E206" s="8" t="inlineStr">
        <is>
          <t>BII</t>
        </is>
      </c>
      <c r="F206" s="8" t="inlineStr">
        <is>
          <t>Mahindra Electric Automobile Limited</t>
        </is>
      </c>
      <c r="G206" s="8" t="inlineStr">
        <is>
          <t>India</t>
        </is>
      </c>
      <c r="H206" s="8" t="n">
        <v>2022</v>
      </c>
      <c r="I206" s="9" t="n">
        <v>244602196</v>
      </c>
      <c r="J206" s="8" t="inlineStr">
        <is>
          <t>USD</t>
        </is>
      </c>
      <c r="K206" s="10" t="n">
        <v>244.602196</v>
      </c>
      <c r="L206" s="8" t="n">
        <v>5</v>
      </c>
      <c r="M206" s="8" t="inlineStr"/>
      <c r="N206" s="11">
        <f>HYPERLINK("https://d-portal.org/q.html?aid=GB-COH-03877777-F345301-01","Open page")</f>
        <v/>
      </c>
      <c r="O206" s="12" t="n"/>
      <c r="P206" s="13" t="n"/>
      <c r="Q206" s="12" t="n"/>
      <c r="R206" s="12" t="n"/>
      <c r="S206" s="12" t="n"/>
      <c r="T206" s="14" t="n"/>
      <c r="U206" s="15" t="inlineStr">
        <is>
          <t>https://d-portal.org/q.html?aid=GB-COH-03877777-F345301-01</t>
        </is>
      </c>
      <c r="V206" s="15" t="inlineStr">
        <is>
          <t>2022-07-07</t>
        </is>
      </c>
      <c r="W206" s="15" t="inlineStr">
        <is>
          <t>Mahindra Electric Automobile Limited</t>
        </is>
      </c>
    </row>
    <row r="207">
      <c r="A207" s="8" t="n">
        <v>206</v>
      </c>
      <c r="B207" s="8" t="inlineStr">
        <is>
          <t>AR-206</t>
        </is>
      </c>
      <c r="C207" s="8" t="inlineStr">
        <is>
          <t>C</t>
        </is>
      </c>
      <c r="D207" s="8" t="inlineStr">
        <is>
          <t>FMO's top 5</t>
        </is>
      </c>
      <c r="E207" s="8" t="inlineStr">
        <is>
          <t>FMO</t>
        </is>
      </c>
      <c r="F207" s="8" t="inlineStr">
        <is>
          <t>BANCO DE AMERICA CENTRAL, S.A</t>
        </is>
      </c>
      <c r="G207" s="8" t="inlineStr">
        <is>
          <t>Guatemala</t>
        </is>
      </c>
      <c r="H207" s="8" t="n">
        <v>2022</v>
      </c>
      <c r="I207" s="9" t="n">
        <v>200000000</v>
      </c>
      <c r="J207" s="8" t="inlineStr">
        <is>
          <t>USD</t>
        </is>
      </c>
      <c r="K207" s="10" t="n">
        <v>200</v>
      </c>
      <c r="L207" s="8" t="n">
        <v>3</v>
      </c>
      <c r="M207" s="8" t="inlineStr"/>
      <c r="N207" s="11">
        <f>HYPERLINK("https://www.fmo.nl/project-detail/61498","Open page")</f>
        <v/>
      </c>
      <c r="O207" s="12" t="n"/>
      <c r="P207" s="13" t="n"/>
      <c r="Q207" s="12" t="n"/>
      <c r="R207" s="12" t="n"/>
      <c r="S207" s="12" t="n"/>
      <c r="T207" s="14" t="n"/>
      <c r="U207" s="15" t="inlineStr">
        <is>
          <t>https://www.fmo.nl/project-detail/61498</t>
        </is>
      </c>
      <c r="V207" s="15" t="inlineStr">
        <is>
          <t>2022-11-24</t>
        </is>
      </c>
      <c r="W207" s="15" t="inlineStr">
        <is>
          <t>BANCO DE AMERICA CENTRAL, S.A</t>
        </is>
      </c>
    </row>
    <row r="208">
      <c r="A208" s="8" t="n">
        <v>207</v>
      </c>
      <c r="B208" s="8" t="inlineStr">
        <is>
          <t>AR-207</t>
        </is>
      </c>
      <c r="C208" s="8" t="inlineStr">
        <is>
          <t>C</t>
        </is>
      </c>
      <c r="D208" s="8" t="inlineStr">
        <is>
          <t>Proparco's top 5</t>
        </is>
      </c>
      <c r="E208" s="8" t="inlineStr">
        <is>
          <t>Proparco</t>
        </is>
      </c>
      <c r="F208" s="8" t="inlineStr">
        <is>
          <t>En Afrique du Sud, soutenir un acteur majeur dans la production de traitements et de vaccins contre le COVID-19 sur le continent africain</t>
        </is>
      </c>
      <c r="G208" s="8" t="inlineStr">
        <is>
          <t>Regional — Africa</t>
        </is>
      </c>
      <c r="H208" s="8" t="n">
        <v>2021</v>
      </c>
      <c r="I208" s="9" t="n">
        <v>156000000</v>
      </c>
      <c r="J208" s="8" t="inlineStr">
        <is>
          <t>EUR</t>
        </is>
      </c>
      <c r="K208" s="10" t="n">
        <v>184.50744</v>
      </c>
      <c r="L208" s="8" t="n">
        <v>1</v>
      </c>
      <c r="M208" s="8" t="inlineStr"/>
      <c r="N208" s="11">
        <f>HYPERLINK("https://www.proparco.fr/fr/carte-des-projets/vax","Open page")</f>
        <v/>
      </c>
      <c r="O208" s="12" t="n"/>
      <c r="P208" s="13" t="n"/>
      <c r="Q208" s="12" t="n"/>
      <c r="R208" s="12" t="n"/>
      <c r="S208" s="12" t="n"/>
      <c r="T208" s="14" t="n"/>
      <c r="U208" s="15" t="inlineStr">
        <is>
          <t>https://www.proparco.fr/fr/carte-des-projets/vax</t>
        </is>
      </c>
      <c r="V208" s="15" t="inlineStr">
        <is>
          <t>2021-08-19</t>
        </is>
      </c>
      <c r="W208" s="15" t="inlineStr">
        <is>
          <t>En Afrique du Sud, soutenir un acteur majeur dans la production de traitements et de vaccins contre le COVID-19 sur le continent africain</t>
        </is>
      </c>
    </row>
    <row r="209">
      <c r="A209" s="8" t="n">
        <v>208</v>
      </c>
      <c r="B209" s="8" t="inlineStr">
        <is>
          <t>AR-208</t>
        </is>
      </c>
      <c r="C209" s="8" t="inlineStr">
        <is>
          <t>C</t>
        </is>
      </c>
      <c r="D209" s="8" t="inlineStr">
        <is>
          <t>FMO's top 5</t>
        </is>
      </c>
      <c r="E209" s="8" t="inlineStr">
        <is>
          <t>FMO</t>
        </is>
      </c>
      <c r="F209" s="8" t="inlineStr">
        <is>
          <t>Global Green Bond Initiative Feeder Fund, SA SICAV-RAIF</t>
        </is>
      </c>
      <c r="G209" s="8" t="inlineStr">
        <is>
          <t>Regional — Global</t>
        </is>
      </c>
      <c r="H209" s="8" t="n">
        <v>2026</v>
      </c>
      <c r="I209" s="9" t="n">
        <v>150460000</v>
      </c>
      <c r="J209" s="8" t="inlineStr">
        <is>
          <t>EUR</t>
        </is>
      </c>
      <c r="K209" s="10" t="n">
        <v>174.87002856</v>
      </c>
      <c r="L209" s="8" t="n">
        <v>4</v>
      </c>
      <c r="M209" s="8" t="inlineStr"/>
      <c r="N209" s="11">
        <f>HYPERLINK("https://www.fmo.nl/project-detail/65197","Open page")</f>
        <v/>
      </c>
      <c r="O209" s="12" t="n"/>
      <c r="P209" s="13" t="n"/>
      <c r="Q209" s="12" t="n"/>
      <c r="R209" s="12" t="n"/>
      <c r="S209" s="12" t="n"/>
      <c r="T209" s="14" t="n"/>
      <c r="U209" s="15" t="inlineStr">
        <is>
          <t>https://www.fmo.nl/project-detail/65197</t>
        </is>
      </c>
      <c r="V209" s="15" t="inlineStr">
        <is>
          <t>2026-04-24</t>
        </is>
      </c>
      <c r="W209" s="15" t="inlineStr">
        <is>
          <t>Global Green Bond Initiative Feeder Fund, SA SICAV-RAIF</t>
        </is>
      </c>
    </row>
    <row r="210">
      <c r="A210" s="8" t="n">
        <v>209</v>
      </c>
      <c r="B210" s="8" t="inlineStr">
        <is>
          <t>AR-209</t>
        </is>
      </c>
      <c r="C210" s="8" t="inlineStr">
        <is>
          <t>C</t>
        </is>
      </c>
      <c r="D210" s="8" t="inlineStr">
        <is>
          <t>Proparco's top 5</t>
        </is>
      </c>
      <c r="E210" s="8" t="inlineStr">
        <is>
          <t>Proparco</t>
        </is>
      </c>
      <c r="F210" s="8" t="inlineStr">
        <is>
          <t>Biovea : soutenir un projet d'energie renouvelable innovant en Côte d'Ivoire</t>
        </is>
      </c>
      <c r="G210" s="8" t="inlineStr">
        <is>
          <t>Côte d'Ivoire</t>
        </is>
      </c>
      <c r="H210" s="8" t="n">
        <v>2021</v>
      </c>
      <c r="I210" s="9" t="n">
        <v>140000000</v>
      </c>
      <c r="J210" s="8" t="inlineStr">
        <is>
          <t>EUR</t>
        </is>
      </c>
      <c r="K210" s="10" t="n">
        <v>165.5836</v>
      </c>
      <c r="L210" s="8" t="n">
        <v>2</v>
      </c>
      <c r="M210" s="8" t="inlineStr"/>
      <c r="N210" s="11">
        <f>HYPERLINK("https://www.proparco.fr/fr/carte-des-projets/biovea-energie","Open page")</f>
        <v/>
      </c>
      <c r="O210" s="12" t="n"/>
      <c r="P210" s="13" t="n"/>
      <c r="Q210" s="12" t="n"/>
      <c r="R210" s="12" t="n"/>
      <c r="S210" s="12" t="n"/>
      <c r="T210" s="14" t="n"/>
      <c r="U210" s="15" t="inlineStr">
        <is>
          <t>https://www.proparco.fr/fr/carte-des-projets/biovea-energie</t>
        </is>
      </c>
      <c r="V210" s="15" t="inlineStr">
        <is>
          <t>2021-06-10</t>
        </is>
      </c>
      <c r="W210" s="15" t="inlineStr">
        <is>
          <t>Biovea : soutenir un projet d'energie renouvelable innovant en Côte d'Ivoire</t>
        </is>
      </c>
    </row>
    <row r="211">
      <c r="A211" s="8" t="n">
        <v>210</v>
      </c>
      <c r="B211" s="8" t="inlineStr">
        <is>
          <t>AR-210</t>
        </is>
      </c>
      <c r="C211" s="8" t="inlineStr">
        <is>
          <t>C</t>
        </is>
      </c>
      <c r="D211" s="8" t="inlineStr">
        <is>
          <t>Proparco's top 5</t>
        </is>
      </c>
      <c r="E211" s="8" t="inlineStr">
        <is>
          <t>Proparco</t>
        </is>
      </c>
      <c r="F211" s="8" t="inlineStr">
        <is>
          <t>Soutenir Aspen pour renforcer le secteur pharmaceutique en Afrique</t>
        </is>
      </c>
      <c r="G211" s="8" t="inlineStr">
        <is>
          <t>Regional — Global</t>
        </is>
      </c>
      <c r="H211" s="8" t="n">
        <v>2024</v>
      </c>
      <c r="I211" s="9" t="n">
        <v>140000000</v>
      </c>
      <c r="J211" s="8" t="inlineStr">
        <is>
          <t>EUR</t>
        </is>
      </c>
      <c r="K211" s="10" t="n">
        <v>151.5332</v>
      </c>
      <c r="L211" s="8" t="n">
        <v>3</v>
      </c>
      <c r="M211" s="8" t="inlineStr"/>
      <c r="N211" s="11">
        <f>HYPERLINK("https://www.proparco.fr/fr/projets/soutenir-aspen-pour-renforcer-le-secteur-pharmaceutique-en-afrique","Open page")</f>
        <v/>
      </c>
      <c r="O211" s="12" t="n"/>
      <c r="P211" s="13" t="n"/>
      <c r="Q211" s="12" t="n"/>
      <c r="R211" s="12" t="n"/>
      <c r="S211" s="12" t="n"/>
      <c r="T211" s="14" t="n"/>
      <c r="U211" s="15" t="inlineStr">
        <is>
          <t>https://www.proparco.fr/fr/projets/soutenir-aspen-pour-renforcer-le-secteur-pharmaceutique-en-afrique</t>
        </is>
      </c>
      <c r="V211" s="15" t="inlineStr">
        <is>
          <t>2024-08-06</t>
        </is>
      </c>
      <c r="W211" s="15" t="inlineStr">
        <is>
          <t>Soutenir Aspen pour renforcer le secteur pharmaceutique en Afrique</t>
        </is>
      </c>
    </row>
    <row r="212">
      <c r="A212" s="8" t="n">
        <v>211</v>
      </c>
      <c r="B212" s="8" t="inlineStr">
        <is>
          <t>AR-211</t>
        </is>
      </c>
      <c r="C212" s="8" t="inlineStr">
        <is>
          <t>C</t>
        </is>
      </c>
      <c r="D212" s="8" t="inlineStr">
        <is>
          <t>FMO's top 5</t>
        </is>
      </c>
      <c r="E212" s="8" t="inlineStr">
        <is>
          <t>FMO</t>
        </is>
      </c>
      <c r="F212" s="8" t="inlineStr">
        <is>
          <t>GMF II Sleeve K/S</t>
        </is>
      </c>
      <c r="G212" s="8" t="inlineStr">
        <is>
          <t>Regional — Global</t>
        </is>
      </c>
      <c r="H212" s="8" t="n">
        <v>2026</v>
      </c>
      <c r="I212" s="9" t="n">
        <v>140000000</v>
      </c>
      <c r="J212" s="8" t="inlineStr">
        <is>
          <t>USD</t>
        </is>
      </c>
      <c r="K212" s="10" t="n">
        <v>140</v>
      </c>
      <c r="L212" s="8" t="n">
        <v>5</v>
      </c>
      <c r="M212" s="8" t="inlineStr"/>
      <c r="N212" s="11">
        <f>HYPERLINK("https://www.fmo.nl/project-detail/66400","Open page")</f>
        <v/>
      </c>
      <c r="O212" s="12" t="n"/>
      <c r="P212" s="13" t="n"/>
      <c r="Q212" s="12" t="n"/>
      <c r="R212" s="12" t="n"/>
      <c r="S212" s="12" t="n"/>
      <c r="T212" s="14" t="n"/>
      <c r="U212" s="15" t="inlineStr">
        <is>
          <t>https://www.fmo.nl/project-detail/66400</t>
        </is>
      </c>
      <c r="V212" s="15" t="inlineStr">
        <is>
          <t>2026-07-21</t>
        </is>
      </c>
      <c r="W212" s="15" t="inlineStr">
        <is>
          <t>GMF II Sleeve K/S</t>
        </is>
      </c>
    </row>
    <row r="213">
      <c r="A213" s="8" t="n">
        <v>212</v>
      </c>
      <c r="B213" s="8" t="inlineStr">
        <is>
          <t>AR-212</t>
        </is>
      </c>
      <c r="C213" s="8" t="inlineStr">
        <is>
          <t>C</t>
        </is>
      </c>
      <c r="D213" s="8" t="inlineStr">
        <is>
          <t>Proparco's top 5</t>
        </is>
      </c>
      <c r="E213" s="8" t="inlineStr">
        <is>
          <t>Proparco</t>
        </is>
      </c>
      <c r="F213" s="8" t="inlineStr">
        <is>
          <t>TERP : soutenir les populations touchées par le séisme</t>
        </is>
      </c>
      <c r="G213" s="8" t="inlineStr">
        <is>
          <t>Türkiye</t>
        </is>
      </c>
      <c r="H213" s="8" t="n">
        <v>2023</v>
      </c>
      <c r="I213" s="9" t="n">
        <v>105000000</v>
      </c>
      <c r="J213" s="8" t="inlineStr">
        <is>
          <t>EUR</t>
        </is>
      </c>
      <c r="K213" s="10" t="n">
        <v>113.533245</v>
      </c>
      <c r="L213" s="8" t="n">
        <v>4</v>
      </c>
      <c r="M213" s="8" t="inlineStr"/>
      <c r="N213" s="11">
        <f>HYPERLINK("https://www.proparco.fr/en/carte-des-projets/denizbank-finansbank-isbank-earthquake","Open page")</f>
        <v/>
      </c>
      <c r="O213" s="12" t="n"/>
      <c r="P213" s="13" t="n"/>
      <c r="Q213" s="12" t="n"/>
      <c r="R213" s="12" t="n"/>
      <c r="S213" s="12" t="n"/>
      <c r="T213" s="14" t="n"/>
      <c r="U213" s="15" t="inlineStr">
        <is>
          <t>https://www.proparco.fr/en/carte-des-projets/denizbank-finansbank-isbank-earthquake</t>
        </is>
      </c>
      <c r="V213" s="15" t="inlineStr">
        <is>
          <t>2023-12-14</t>
        </is>
      </c>
      <c r="W213" s="15" t="inlineStr">
        <is>
          <t>TERP : soutenir les populations touchées par le séisme</t>
        </is>
      </c>
    </row>
    <row r="214">
      <c r="A214" s="8" t="n">
        <v>213</v>
      </c>
      <c r="B214" s="8" t="inlineStr">
        <is>
          <t>AR-213</t>
        </is>
      </c>
      <c r="C214" s="8" t="inlineStr">
        <is>
          <t>C</t>
        </is>
      </c>
      <c r="D214" s="8" t="inlineStr">
        <is>
          <t>Proparco's top 5</t>
        </is>
      </c>
      <c r="E214" s="8" t="inlineStr">
        <is>
          <t>Proparco</t>
        </is>
      </c>
      <c r="F214" s="8" t="inlineStr">
        <is>
          <t>Bank of Georgia</t>
        </is>
      </c>
      <c r="G214" s="8" t="inlineStr">
        <is>
          <t>Georgia</t>
        </is>
      </c>
      <c r="H214" s="8" t="n">
        <v>2025</v>
      </c>
      <c r="I214" s="9" t="n">
        <v>100000000</v>
      </c>
      <c r="J214" s="8" t="inlineStr">
        <is>
          <t>EUR</t>
        </is>
      </c>
      <c r="K214" s="10" t="n">
        <v>112.9983</v>
      </c>
      <c r="L214" s="8" t="n">
        <v>5</v>
      </c>
      <c r="M214" s="8" t="inlineStr"/>
      <c r="N214" s="11">
        <f>HYPERLINK("https://www.google.com/search?q=site%3Aproparco.fr+Bank+of+Georgia","Search Proparco")</f>
        <v/>
      </c>
      <c r="O214" s="12" t="n"/>
      <c r="P214" s="13" t="n"/>
      <c r="Q214" s="12" t="n"/>
      <c r="R214" s="12" t="n"/>
      <c r="S214" s="12" t="n"/>
      <c r="T214" s="14" t="n"/>
      <c r="U214" s="15" t="inlineStr">
        <is>
          <t>https://opendata.afd.fr/explore/dataset/donnees-de-laide-au-developpement-de-proparco/</t>
        </is>
      </c>
      <c r="V214" s="15" t="inlineStr">
        <is>
          <t>2025-10-09</t>
        </is>
      </c>
      <c r="W214" s="15" t="inlineStr">
        <is>
          <t>Bank of Georgia</t>
        </is>
      </c>
    </row>
  </sheetData>
  <autoFilter ref="A1:W214"/>
  <conditionalFormatting sqref="P2:P214">
    <cfRule type="expression" priority="1" dxfId="0">
      <formula>AND(LEFT($O2,5)="Wrong",$P2="")</formula>
    </cfRule>
  </conditionalFormatting>
  <conditionalFormatting sqref="A2:C214">
    <cfRule type="expression" priority="2" dxfId="1">
      <formula>LEFT($O2,7)="Correct"</formula>
    </cfRule>
    <cfRule type="expression" priority="3" dxfId="0">
      <formula>LEFT($O2,5)="Wrong"</formula>
    </cfRule>
    <cfRule type="expression" priority="4" dxfId="2">
      <formula>OR(LEFT($O2,5)="Can't",LEFT($O2,6)="Unsure")</formula>
    </cfRule>
  </conditionalFormatting>
  <dataValidations count="2">
    <dataValidation sqref="O2:O214" showDropDown="0" showInputMessage="0" showErrorMessage="1" allowBlank="1" errorTitle="Pick from the list" error="Choose a verdict from the dropdown." type="list">
      <formula1>=Lists!$A$1:$A$9</formula1>
    </dataValidation>
    <dataValidation sqref="P2:P214" showDropDown="0" showInputMessage="0" showErrorMessage="1" allowBlank="1" error="Type a plain number, e.g. 25000000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60" customWidth="1" min="3" max="3"/>
    <col width="18" customWidth="1" min="4" max="4"/>
  </cols>
  <sheetData>
    <row r="1">
      <c r="A1" s="6" t="inlineStr">
        <is>
          <t>Institution</t>
        </is>
      </c>
      <c r="B1" s="6" t="inlineStr">
        <is>
          <t>Where the amount is</t>
        </is>
      </c>
      <c r="C1" s="6" t="inlineStr">
        <is>
          <t>Differences that are NORMAL here</t>
        </is>
      </c>
      <c r="D1" s="6" t="inlineStr">
        <is>
          <t>Page layout checked 24 Sep 2026?</t>
        </is>
      </c>
    </row>
    <row r="2">
      <c r="A2" s="16" t="inlineStr">
        <is>
          <t>IFC</t>
        </is>
      </c>
      <c r="B2" s="17" t="inlineStr">
        <is>
          <t>Open the link. Click the section 'Total Project Cost and Amount and Nature of IFC's Investment'. It gives the total project and IFC's own investment separately; compare OUR amount with IFC's investment.</t>
        </is>
      </c>
      <c r="C2" s="17" t="inlineStr">
        <is>
          <t>Loan plus equity may be listed separately; add them. 'Up to' figures are fine.</t>
        </is>
      </c>
      <c r="D2" s="17" t="inlineStr">
        <is>
          <t>Yes</t>
        </is>
      </c>
    </row>
    <row r="3">
      <c r="A3" s="16" t="inlineStr">
        <is>
          <t>EBRD</t>
        </is>
      </c>
      <c r="B3" s="17" t="inlineStr">
        <is>
          <t>There is no page per record: the link is a web search. Open the result whose address contains '/projects/psd/'. That is the Project Summary Document; its financing section states EBRD's own amount.</t>
        </is>
      </c>
      <c r="C3" s="17" t="inlineStr">
        <is>
          <t>Our figure is EBRD's 'Net Cumulative Bank Investment' from its portfolio list, not the signing amount, so it can differ from the PSD. A much LARGER figure than the PSD is exactly what to look for.</t>
        </is>
      </c>
      <c r="D3" s="17" t="inlineStr">
        <is>
          <t>Search only; PSD layout not checked</t>
        </is>
      </c>
    </row>
    <row r="4">
      <c r="A4" s="16" t="inlineStr">
        <is>
          <t>EIB Global</t>
        </is>
      </c>
      <c r="B4" s="17" t="inlineStr">
        <is>
          <t>Open the link and click 'Signature(s)'. It lists the signed amount and each signature date.</t>
        </is>
      </c>
      <c r="C4" s="17" t="inlineStr">
        <is>
          <t>EIB publishes loan tranches, so one project can be several of our records. Match OUR amount to one signature line, not the project total.</t>
        </is>
      </c>
      <c r="D4" s="17" t="inlineStr">
        <is>
          <t>Yes</t>
        </is>
      </c>
    </row>
    <row r="5">
      <c r="A5" s="16" t="inlineStr">
        <is>
          <t>AfDB</t>
        </is>
      </c>
      <c r="B5" s="17" t="inlineStr">
        <is>
          <t>Open the link and read 'Commitment (UA)' on Overview. Then click 'Financial information': under 'Commitments by source' note the African Development Bank Group line.</t>
        </is>
      </c>
      <c r="C5" s="17" t="inlineStr">
        <is>
          <t>Amounts are in UA (Units of Account, the IMF's SDR). Record UA figures, not USD. If 'Commitments by source' shows other financiers, OUR figure may include them — say so in Notes.</t>
        </is>
      </c>
      <c r="D5" s="17" t="inlineStr">
        <is>
          <t>Yes</t>
        </is>
      </c>
    </row>
    <row r="6">
      <c r="A6" s="16" t="inlineStr">
        <is>
          <t>IDB Invest</t>
        </is>
      </c>
      <c r="B6" s="17" t="inlineStr">
        <is>
          <t>Open the link. 'Investment summary' shows 'FINANCING AMOUNT'.</t>
        </is>
      </c>
      <c r="C6" s="17" t="inlineStr">
        <is>
          <t>The page can show the whole IDB Group's figure, typically 1.8 to 5.3 times IDB Invest's own share, which is what we load. A LARGER page figure is expected; a SMALLER one is a problem.</t>
        </is>
      </c>
      <c r="D6" s="17" t="inlineStr">
        <is>
          <t>Yes</t>
        </is>
      </c>
    </row>
    <row r="7">
      <c r="A7" s="16" t="inlineStr">
        <is>
          <t>FMO</t>
        </is>
      </c>
      <c r="B7" s="17" t="inlineStr">
        <is>
          <t>Open the link. Read 'Total FMO financing' in the side panel.</t>
        </is>
      </c>
      <c r="C7" s="17" t="inlineStr">
        <is>
          <t>'Funding' says whose money it was: 'FMO NV' is FMO's own account; anything else is a government fund FMO manages.</t>
        </is>
      </c>
      <c r="D7" s="17" t="inlineStr">
        <is>
          <t>Yes</t>
        </is>
      </c>
    </row>
    <row r="8">
      <c r="A8" s="16" t="inlineStr">
        <is>
          <t>DFC</t>
        </is>
      </c>
      <c r="B8" s="17" t="inlineStr">
        <is>
          <t>The link is a PDF project summary. Look for the proposed DFC financing amount.</t>
        </is>
      </c>
      <c r="C8" s="17" t="inlineStr">
        <is>
          <t>Records named 'Redacted' have no public page: mark 'Can't verify'.</t>
        </is>
      </c>
      <c r="D8" s="17" t="inlineStr">
        <is>
          <t>No</t>
        </is>
      </c>
    </row>
    <row r="9">
      <c r="A9" s="16" t="inlineStr">
        <is>
          <t>ADB</t>
        </is>
      </c>
      <c r="B9" s="17" t="inlineStr">
        <is>
          <t>Open the link (your browser may show a security check first). Look for the financing table, ADB's own line.</t>
        </is>
      </c>
      <c r="C9" s="17" t="inlineStr">
        <is>
          <t>One ADB record is in Indian rupees; its description says 'up to $750 million'.</t>
        </is>
      </c>
      <c r="D9" s="17" t="inlineStr">
        <is>
          <t>No - the site blocked automated checking</t>
        </is>
      </c>
    </row>
    <row r="10">
      <c r="A10" s="16" t="inlineStr">
        <is>
          <t>BII</t>
        </is>
      </c>
      <c r="B10" s="17" t="inlineStr">
        <is>
          <t>The link opens d-portal (the IATI data viewer). Look at the commitment transactions for this activity.</t>
        </is>
      </c>
      <c r="C10" s="17" t="inlineStr">
        <is>
          <t>BII publishes transactions, so one deal can be several records.</t>
        </is>
      </c>
      <c r="D10" s="17" t="inlineStr">
        <is>
          <t>No</t>
        </is>
      </c>
    </row>
    <row r="11">
      <c r="A11" s="16" t="inlineStr">
        <is>
          <t>Proparco</t>
        </is>
      </c>
      <c r="B11" s="17" t="inlineStr">
        <is>
          <t>Open the link (French). Look for 'Montant' / the amount of Proparco's financing. Records loaded from AFD's open data have no page of their own: the link is a web search instead.</t>
        </is>
      </c>
      <c r="C11" s="17" t="inlineStr">
        <is>
          <t>Amounts are in EUR.</t>
        </is>
      </c>
      <c r="D11" s="17"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8" customWidth="1" min="1" max="1"/>
    <col width="10" customWidth="1" min="2" max="2"/>
    <col width="10" customWidth="1" min="3" max="3"/>
    <col width="10" customWidth="1" min="4" max="4"/>
    <col width="10" customWidth="1" min="5" max="5"/>
  </cols>
  <sheetData>
    <row r="1">
      <c r="A1" s="18" t="inlineStr">
        <is>
          <t>Progress</t>
        </is>
      </c>
    </row>
    <row r="3">
      <c r="A3" s="6" t="inlineStr"/>
      <c r="B3" s="6" t="inlineStr">
        <is>
          <t>All</t>
        </is>
      </c>
      <c r="C3" s="6" t="inlineStr">
        <is>
          <t>A</t>
        </is>
      </c>
      <c r="D3" s="6" t="inlineStr">
        <is>
          <t>B</t>
        </is>
      </c>
      <c r="E3" s="6" t="inlineStr">
        <is>
          <t>C</t>
        </is>
      </c>
    </row>
    <row r="4">
      <c r="A4" s="19" t="inlineStr">
        <is>
          <t>Records in the queue</t>
        </is>
      </c>
      <c r="B4" s="19">
        <f>COUNTA(Queue!$B$2:$B$214)</f>
        <v/>
      </c>
      <c r="C4" s="19">
        <f>COUNTIF(Queue!$C$2:$C$214,"A")</f>
        <v/>
      </c>
      <c r="D4" s="19">
        <f>COUNTIF(Queue!$C$2:$C$214,"B")</f>
        <v/>
      </c>
      <c r="E4" s="19">
        <f>COUNTIF(Queue!$C$2:$C$214,"C")</f>
        <v/>
      </c>
    </row>
    <row r="5">
      <c r="A5" s="20" t="inlineStr">
        <is>
          <t>Reviewed (any verdict)</t>
        </is>
      </c>
      <c r="B5" s="20">
        <f>COUNTA(Queue!$O$2:$O$214)</f>
        <v/>
      </c>
      <c r="C5" s="20">
        <f>COUNTIFS(Queue!$C$2:$C$214,"A",Queue!$O$2:$O$214,"&lt;&gt;")</f>
        <v/>
      </c>
      <c r="D5" s="20">
        <f>COUNTIFS(Queue!$C$2:$C$214,"B",Queue!$O$2:$O$214,"&lt;&gt;")</f>
        <v/>
      </c>
      <c r="E5" s="20">
        <f>COUNTIFS(Queue!$C$2:$C$214,"C",Queue!$O$2:$O$214,"&lt;&gt;")</f>
        <v/>
      </c>
    </row>
    <row r="6">
      <c r="A6" s="20" t="inlineStr">
        <is>
          <t>Correct - matches the page</t>
        </is>
      </c>
      <c r="B6" s="20">
        <f>COUNTIF(Queue!$O$2:$O$214,$A6)</f>
        <v/>
      </c>
      <c r="C6" s="20">
        <f>COUNTIFS(Queue!$C$2:$C$214,"A",Queue!$O$2:$O$214,$A6)</f>
        <v/>
      </c>
      <c r="D6" s="20">
        <f>COUNTIFS(Queue!$C$2:$C$214,"B",Queue!$O$2:$O$214,$A6)</f>
        <v/>
      </c>
      <c r="E6" s="20">
        <f>COUNTIFS(Queue!$C$2:$C$214,"C",Queue!$O$2:$O$214,$A6)</f>
        <v/>
      </c>
    </row>
    <row r="7">
      <c r="A7" s="20" t="inlineStr">
        <is>
          <t>Correct - small difference (rounding or exchange rate)</t>
        </is>
      </c>
      <c r="B7" s="20">
        <f>COUNTIF(Queue!$O$2:$O$214,$A7)</f>
        <v/>
      </c>
      <c r="C7" s="20">
        <f>COUNTIFS(Queue!$C$2:$C$214,"A",Queue!$O$2:$O$214,$A7)</f>
        <v/>
      </c>
      <c r="D7" s="20">
        <f>COUNTIFS(Queue!$C$2:$C$214,"B",Queue!$O$2:$O$214,$A7)</f>
        <v/>
      </c>
      <c r="E7" s="20">
        <f>COUNTIFS(Queue!$C$2:$C$214,"C",Queue!$O$2:$O$214,$A7)</f>
        <v/>
      </c>
    </row>
    <row r="8">
      <c r="A8" s="20" t="inlineStr">
        <is>
          <t>Wrong - programme or envelope total, not this deal</t>
        </is>
      </c>
      <c r="B8" s="20">
        <f>COUNTIF(Queue!$O$2:$O$214,$A8)</f>
        <v/>
      </c>
      <c r="C8" s="20">
        <f>COUNTIFS(Queue!$C$2:$C$214,"A",Queue!$O$2:$O$214,$A8)</f>
        <v/>
      </c>
      <c r="D8" s="20">
        <f>COUNTIFS(Queue!$C$2:$C$214,"B",Queue!$O$2:$O$214,$A8)</f>
        <v/>
      </c>
      <c r="E8" s="20">
        <f>COUNTIFS(Queue!$C$2:$C$214,"C",Queue!$O$2:$O$214,$A8)</f>
        <v/>
      </c>
    </row>
    <row r="9">
      <c r="A9" s="20" t="inlineStr">
        <is>
          <t>Wrong - total project cost, not this institution's share</t>
        </is>
      </c>
      <c r="B9" s="20">
        <f>COUNTIF(Queue!$O$2:$O$214,$A9)</f>
        <v/>
      </c>
      <c r="C9" s="20">
        <f>COUNTIFS(Queue!$C$2:$C$214,"A",Queue!$O$2:$O$214,$A9)</f>
        <v/>
      </c>
      <c r="D9" s="20">
        <f>COUNTIFS(Queue!$C$2:$C$214,"B",Queue!$O$2:$O$214,$A9)</f>
        <v/>
      </c>
      <c r="E9" s="20">
        <f>COUNTIFS(Queue!$C$2:$C$214,"C",Queue!$O$2:$O$214,$A9)</f>
        <v/>
      </c>
    </row>
    <row r="10">
      <c r="A10" s="20" t="inlineStr">
        <is>
          <t>Wrong - cumulative or revolving total, not one commitment</t>
        </is>
      </c>
      <c r="B10" s="20">
        <f>COUNTIF(Queue!$O$2:$O$214,$A10)</f>
        <v/>
      </c>
      <c r="C10" s="20">
        <f>COUNTIFS(Queue!$C$2:$C$214,"A",Queue!$O$2:$O$214,$A10)</f>
        <v/>
      </c>
      <c r="D10" s="20">
        <f>COUNTIFS(Queue!$C$2:$C$214,"B",Queue!$O$2:$O$214,$A10)</f>
        <v/>
      </c>
      <c r="E10" s="20">
        <f>COUNTIFS(Queue!$C$2:$C$214,"C",Queue!$O$2:$O$214,$A10)</f>
        <v/>
      </c>
    </row>
    <row r="11">
      <c r="A11" s="20" t="inlineStr">
        <is>
          <t>Wrong - currency or units</t>
        </is>
      </c>
      <c r="B11" s="20">
        <f>COUNTIF(Queue!$O$2:$O$214,$A11)</f>
        <v/>
      </c>
      <c r="C11" s="20">
        <f>COUNTIFS(Queue!$C$2:$C$214,"A",Queue!$O$2:$O$214,$A11)</f>
        <v/>
      </c>
      <c r="D11" s="20">
        <f>COUNTIFS(Queue!$C$2:$C$214,"B",Queue!$O$2:$O$214,$A11)</f>
        <v/>
      </c>
      <c r="E11" s="20">
        <f>COUNTIFS(Queue!$C$2:$C$214,"C",Queue!$O$2:$O$214,$A11)</f>
        <v/>
      </c>
    </row>
    <row r="12">
      <c r="A12" s="20" t="inlineStr">
        <is>
          <t>Wrong - other (explain in Notes)</t>
        </is>
      </c>
      <c r="B12" s="20">
        <f>COUNTIF(Queue!$O$2:$O$214,$A12)</f>
        <v/>
      </c>
      <c r="C12" s="20">
        <f>COUNTIFS(Queue!$C$2:$C$214,"A",Queue!$O$2:$O$214,$A12)</f>
        <v/>
      </c>
      <c r="D12" s="20">
        <f>COUNTIFS(Queue!$C$2:$C$214,"B",Queue!$O$2:$O$214,$A12)</f>
        <v/>
      </c>
      <c r="E12" s="20">
        <f>COUNTIFS(Queue!$C$2:$C$214,"C",Queue!$O$2:$O$214,$A12)</f>
        <v/>
      </c>
    </row>
    <row r="13">
      <c r="A13" s="20" t="inlineStr">
        <is>
          <t>Can't verify - no link, page gone, or no amount shown</t>
        </is>
      </c>
      <c r="B13" s="20">
        <f>COUNTIF(Queue!$O$2:$O$214,$A13)</f>
        <v/>
      </c>
      <c r="C13" s="20">
        <f>COUNTIFS(Queue!$C$2:$C$214,"A",Queue!$O$2:$O$214,$A13)</f>
        <v/>
      </c>
      <c r="D13" s="20">
        <f>COUNTIFS(Queue!$C$2:$C$214,"B",Queue!$O$2:$O$214,$A13)</f>
        <v/>
      </c>
      <c r="E13" s="20">
        <f>COUNTIFS(Queue!$C$2:$C$214,"C",Queue!$O$2:$O$214,$A13)</f>
        <v/>
      </c>
    </row>
    <row r="14">
      <c r="A14" s="20" t="inlineStr">
        <is>
          <t>Unsure - discuss</t>
        </is>
      </c>
      <c r="B14" s="20">
        <f>COUNTIF(Queue!$O$2:$O$214,$A14)</f>
        <v/>
      </c>
      <c r="C14" s="20">
        <f>COUNTIFS(Queue!$C$2:$C$214,"A",Queue!$O$2:$O$214,$A14)</f>
        <v/>
      </c>
      <c r="D14" s="20">
        <f>COUNTIFS(Queue!$C$2:$C$214,"B",Queue!$O$2:$O$214,$A14)</f>
        <v/>
      </c>
      <c r="E14" s="20">
        <f>COUNTIFS(Queue!$C$2:$C$214,"C",Queue!$O$2:$O$214,$A14)</f>
        <v/>
      </c>
    </row>
    <row r="15">
      <c r="A15" s="19" t="inlineStr">
        <is>
          <t>Still to do</t>
        </is>
      </c>
      <c r="B15" s="19">
        <f>B4-B5</f>
        <v/>
      </c>
      <c r="C15" s="19">
        <f>C4-C5</f>
        <v/>
      </c>
      <c r="D15" s="19">
        <f>D4-D5</f>
        <v/>
      </c>
      <c r="E15" s="19">
        <f>E4-E5</f>
        <v/>
      </c>
    </row>
    <row r="17">
      <c r="A17" s="21" t="inlineStr">
        <is>
          <t>Counts update as you fill the Verdict column. 'Reviewed' counts any row with a verdict.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Correct - matches the page</t>
        </is>
      </c>
    </row>
    <row r="2">
      <c r="A2" t="inlineStr">
        <is>
          <t>Correct - small difference (rounding or exchange rate)</t>
        </is>
      </c>
    </row>
    <row r="3">
      <c r="A3" t="inlineStr">
        <is>
          <t>Wrong - programme or envelope total, not this deal</t>
        </is>
      </c>
    </row>
    <row r="4">
      <c r="A4" t="inlineStr">
        <is>
          <t>Wrong - total project cost, not this institution's share</t>
        </is>
      </c>
    </row>
    <row r="5">
      <c r="A5" t="inlineStr">
        <is>
          <t>Wrong - cumulative or revolving total, not one commitment</t>
        </is>
      </c>
    </row>
    <row r="6">
      <c r="A6" t="inlineStr">
        <is>
          <t>Wrong - currency or units</t>
        </is>
      </c>
    </row>
    <row r="7">
      <c r="A7" t="inlineStr">
        <is>
          <t>Wrong - other (explain in Notes)</t>
        </is>
      </c>
    </row>
    <row r="8">
      <c r="A8" t="inlineStr">
        <is>
          <t>Can't verify - no link, page gone, or no amount shown</t>
        </is>
      </c>
    </row>
    <row r="9">
      <c r="A9" t="inlineStr">
        <is>
          <t>Unsure - discuss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2026-09-24T17:17:06Z</dcterms:created>
  <dcterms:modified xmlns:dcterms="http://purl.org/dc/terms/" xmlns:xsi="http://www.w3.org/2001/XMLSchema-instance" xsi:type="dcterms:W3CDTF">2026-09-24T17:17:06Z</dcterms:modified>
</cp:coreProperties>
</file>